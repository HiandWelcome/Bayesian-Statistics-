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an/Desktop/Business Statistics and Analysis/Master Review - Main /Bayesian Statistics/Labs (Conjugates)/"/>
    </mc:Choice>
  </mc:AlternateContent>
  <xr:revisionPtr revIDLastSave="0" documentId="8_{05F2F45A-A2AA-B642-9FE2-9B25B932E3A4}" xr6:coauthVersionLast="47" xr6:coauthVersionMax="47" xr10:uidLastSave="{00000000-0000-0000-0000-000000000000}"/>
  <bookViews>
    <workbookView xWindow="0" yWindow="600" windowWidth="28800" windowHeight="18040" xr2:uid="{B23F8C1A-FFA5-094E-9345-84247E5E8FFF}"/>
  </bookViews>
  <sheets>
    <sheet name="Normal Approximation " sheetId="2" r:id="rId1"/>
    <sheet name="Sheet1" sheetId="1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7" i="2" l="1"/>
  <c r="C547" i="2"/>
  <c r="B547" i="2"/>
  <c r="E547" i="2" s="1"/>
  <c r="D546" i="2"/>
  <c r="C546" i="2"/>
  <c r="B546" i="2"/>
  <c r="E546" i="2" s="1"/>
  <c r="D545" i="2"/>
  <c r="C545" i="2"/>
  <c r="B545" i="2"/>
  <c r="D544" i="2"/>
  <c r="C544" i="2"/>
  <c r="B544" i="2"/>
  <c r="E544" i="2" s="1"/>
  <c r="D543" i="2"/>
  <c r="C543" i="2"/>
  <c r="B543" i="2"/>
  <c r="D542" i="2"/>
  <c r="C542" i="2"/>
  <c r="B542" i="2"/>
  <c r="E542" i="2" s="1"/>
  <c r="D541" i="2"/>
  <c r="C541" i="2"/>
  <c r="B541" i="2"/>
  <c r="E541" i="2" s="1"/>
  <c r="D540" i="2"/>
  <c r="C540" i="2"/>
  <c r="B540" i="2"/>
  <c r="E540" i="2" s="1"/>
  <c r="D539" i="2"/>
  <c r="C539" i="2"/>
  <c r="B539" i="2"/>
  <c r="E538" i="2"/>
  <c r="D538" i="2"/>
  <c r="C538" i="2"/>
  <c r="B538" i="2"/>
  <c r="D537" i="2"/>
  <c r="C537" i="2"/>
  <c r="B537" i="2"/>
  <c r="D536" i="2"/>
  <c r="E536" i="2" s="1"/>
  <c r="C536" i="2"/>
  <c r="B536" i="2"/>
  <c r="D535" i="2"/>
  <c r="C535" i="2"/>
  <c r="B535" i="2"/>
  <c r="E535" i="2" s="1"/>
  <c r="D534" i="2"/>
  <c r="C534" i="2"/>
  <c r="E534" i="2" s="1"/>
  <c r="B534" i="2"/>
  <c r="D533" i="2"/>
  <c r="C533" i="2"/>
  <c r="B533" i="2"/>
  <c r="E533" i="2" s="1"/>
  <c r="D532" i="2"/>
  <c r="C532" i="2"/>
  <c r="B532" i="2"/>
  <c r="E532" i="2" s="1"/>
  <c r="D531" i="2"/>
  <c r="C531" i="2"/>
  <c r="B531" i="2"/>
  <c r="E531" i="2" s="1"/>
  <c r="D530" i="2"/>
  <c r="C530" i="2"/>
  <c r="B530" i="2"/>
  <c r="E530" i="2" s="1"/>
  <c r="D529" i="2"/>
  <c r="C529" i="2"/>
  <c r="B529" i="2"/>
  <c r="D528" i="2"/>
  <c r="C528" i="2"/>
  <c r="B528" i="2"/>
  <c r="E528" i="2" s="1"/>
  <c r="D527" i="2"/>
  <c r="C527" i="2"/>
  <c r="B527" i="2"/>
  <c r="D526" i="2"/>
  <c r="C526" i="2"/>
  <c r="B526" i="2"/>
  <c r="E526" i="2" s="1"/>
  <c r="D525" i="2"/>
  <c r="C525" i="2"/>
  <c r="B525" i="2"/>
  <c r="E525" i="2" s="1"/>
  <c r="D524" i="2"/>
  <c r="C524" i="2"/>
  <c r="B524" i="2"/>
  <c r="E524" i="2" s="1"/>
  <c r="D523" i="2"/>
  <c r="C523" i="2"/>
  <c r="B523" i="2"/>
  <c r="E522" i="2"/>
  <c r="D522" i="2"/>
  <c r="C522" i="2"/>
  <c r="B522" i="2"/>
  <c r="D521" i="2"/>
  <c r="C521" i="2"/>
  <c r="B521" i="2"/>
  <c r="D520" i="2"/>
  <c r="E520" i="2" s="1"/>
  <c r="C520" i="2"/>
  <c r="B520" i="2"/>
  <c r="D519" i="2"/>
  <c r="C519" i="2"/>
  <c r="B519" i="2"/>
  <c r="E519" i="2" s="1"/>
  <c r="D518" i="2"/>
  <c r="C518" i="2"/>
  <c r="E518" i="2" s="1"/>
  <c r="B518" i="2"/>
  <c r="D517" i="2"/>
  <c r="C517" i="2"/>
  <c r="B517" i="2"/>
  <c r="E517" i="2" s="1"/>
  <c r="D516" i="2"/>
  <c r="C516" i="2"/>
  <c r="B516" i="2"/>
  <c r="E516" i="2" s="1"/>
  <c r="D515" i="2"/>
  <c r="C515" i="2"/>
  <c r="B515" i="2"/>
  <c r="E515" i="2" s="1"/>
  <c r="D514" i="2"/>
  <c r="C514" i="2"/>
  <c r="B514" i="2"/>
  <c r="E514" i="2" s="1"/>
  <c r="D513" i="2"/>
  <c r="C513" i="2"/>
  <c r="B513" i="2"/>
  <c r="D512" i="2"/>
  <c r="C512" i="2"/>
  <c r="B512" i="2"/>
  <c r="E512" i="2" s="1"/>
  <c r="D511" i="2"/>
  <c r="C511" i="2"/>
  <c r="B511" i="2"/>
  <c r="D510" i="2"/>
  <c r="C510" i="2"/>
  <c r="B510" i="2"/>
  <c r="E510" i="2" s="1"/>
  <c r="D509" i="2"/>
  <c r="C509" i="2"/>
  <c r="B509" i="2"/>
  <c r="E509" i="2" s="1"/>
  <c r="D508" i="2"/>
  <c r="C508" i="2"/>
  <c r="B508" i="2"/>
  <c r="E508" i="2" s="1"/>
  <c r="D507" i="2"/>
  <c r="C507" i="2"/>
  <c r="B507" i="2"/>
  <c r="E506" i="2"/>
  <c r="D506" i="2"/>
  <c r="C506" i="2"/>
  <c r="B506" i="2"/>
  <c r="D505" i="2"/>
  <c r="C505" i="2"/>
  <c r="B505" i="2"/>
  <c r="D504" i="2"/>
  <c r="E504" i="2" s="1"/>
  <c r="C504" i="2"/>
  <c r="B504" i="2"/>
  <c r="D503" i="2"/>
  <c r="C503" i="2"/>
  <c r="B503" i="2"/>
  <c r="E503" i="2" s="1"/>
  <c r="D502" i="2"/>
  <c r="C502" i="2"/>
  <c r="E502" i="2" s="1"/>
  <c r="B502" i="2"/>
  <c r="D501" i="2"/>
  <c r="C501" i="2"/>
  <c r="B501" i="2"/>
  <c r="E501" i="2" s="1"/>
  <c r="D500" i="2"/>
  <c r="C500" i="2"/>
  <c r="B500" i="2"/>
  <c r="E500" i="2" s="1"/>
  <c r="D499" i="2"/>
  <c r="C499" i="2"/>
  <c r="B499" i="2"/>
  <c r="E499" i="2" s="1"/>
  <c r="D498" i="2"/>
  <c r="C498" i="2"/>
  <c r="B498" i="2"/>
  <c r="E498" i="2" s="1"/>
  <c r="D497" i="2"/>
  <c r="C497" i="2"/>
  <c r="B497" i="2"/>
  <c r="D496" i="2"/>
  <c r="C496" i="2"/>
  <c r="B496" i="2"/>
  <c r="E496" i="2" s="1"/>
  <c r="D495" i="2"/>
  <c r="C495" i="2"/>
  <c r="B495" i="2"/>
  <c r="D494" i="2"/>
  <c r="C494" i="2"/>
  <c r="B494" i="2"/>
  <c r="E494" i="2" s="1"/>
  <c r="D493" i="2"/>
  <c r="C493" i="2"/>
  <c r="B493" i="2"/>
  <c r="E493" i="2" s="1"/>
  <c r="D492" i="2"/>
  <c r="C492" i="2"/>
  <c r="B492" i="2"/>
  <c r="E492" i="2" s="1"/>
  <c r="D491" i="2"/>
  <c r="C491" i="2"/>
  <c r="B491" i="2"/>
  <c r="E490" i="2"/>
  <c r="D490" i="2"/>
  <c r="C490" i="2"/>
  <c r="B490" i="2"/>
  <c r="D489" i="2"/>
  <c r="C489" i="2"/>
  <c r="B489" i="2"/>
  <c r="D488" i="2"/>
  <c r="E488" i="2" s="1"/>
  <c r="C488" i="2"/>
  <c r="B488" i="2"/>
  <c r="D487" i="2"/>
  <c r="C487" i="2"/>
  <c r="B487" i="2"/>
  <c r="E487" i="2" s="1"/>
  <c r="D486" i="2"/>
  <c r="C486" i="2"/>
  <c r="E486" i="2" s="1"/>
  <c r="B486" i="2"/>
  <c r="D485" i="2"/>
  <c r="C485" i="2"/>
  <c r="B485" i="2"/>
  <c r="E485" i="2" s="1"/>
  <c r="D484" i="2"/>
  <c r="C484" i="2"/>
  <c r="B484" i="2"/>
  <c r="E484" i="2" s="1"/>
  <c r="D483" i="2"/>
  <c r="C483" i="2"/>
  <c r="B483" i="2"/>
  <c r="E483" i="2" s="1"/>
  <c r="D482" i="2"/>
  <c r="C482" i="2"/>
  <c r="B482" i="2"/>
  <c r="E482" i="2" s="1"/>
  <c r="D481" i="2"/>
  <c r="C481" i="2"/>
  <c r="B481" i="2"/>
  <c r="D480" i="2"/>
  <c r="C480" i="2"/>
  <c r="B480" i="2"/>
  <c r="E480" i="2" s="1"/>
  <c r="D479" i="2"/>
  <c r="C479" i="2"/>
  <c r="B479" i="2"/>
  <c r="D478" i="2"/>
  <c r="C478" i="2"/>
  <c r="B478" i="2"/>
  <c r="E478" i="2" s="1"/>
  <c r="D477" i="2"/>
  <c r="C477" i="2"/>
  <c r="B477" i="2"/>
  <c r="E477" i="2" s="1"/>
  <c r="D476" i="2"/>
  <c r="C476" i="2"/>
  <c r="B476" i="2"/>
  <c r="E476" i="2" s="1"/>
  <c r="D475" i="2"/>
  <c r="C475" i="2"/>
  <c r="B475" i="2"/>
  <c r="E474" i="2"/>
  <c r="D474" i="2"/>
  <c r="C474" i="2"/>
  <c r="B474" i="2"/>
  <c r="D473" i="2"/>
  <c r="C473" i="2"/>
  <c r="B473" i="2"/>
  <c r="D472" i="2"/>
  <c r="E472" i="2" s="1"/>
  <c r="C472" i="2"/>
  <c r="B472" i="2"/>
  <c r="D471" i="2"/>
  <c r="C471" i="2"/>
  <c r="B471" i="2"/>
  <c r="D470" i="2"/>
  <c r="C470" i="2"/>
  <c r="E470" i="2" s="1"/>
  <c r="B470" i="2"/>
  <c r="D469" i="2"/>
  <c r="C469" i="2"/>
  <c r="B469" i="2"/>
  <c r="E469" i="2" s="1"/>
  <c r="D468" i="2"/>
  <c r="C468" i="2"/>
  <c r="B468" i="2"/>
  <c r="E468" i="2" s="1"/>
  <c r="D467" i="2"/>
  <c r="C467" i="2"/>
  <c r="B467" i="2"/>
  <c r="E467" i="2" s="1"/>
  <c r="E466" i="2"/>
  <c r="D466" i="2"/>
  <c r="C466" i="2"/>
  <c r="B466" i="2"/>
  <c r="D465" i="2"/>
  <c r="C465" i="2"/>
  <c r="B465" i="2"/>
  <c r="D464" i="2"/>
  <c r="C464" i="2"/>
  <c r="B464" i="2"/>
  <c r="E464" i="2" s="1"/>
  <c r="D463" i="2"/>
  <c r="C463" i="2"/>
  <c r="B463" i="2"/>
  <c r="D462" i="2"/>
  <c r="C462" i="2"/>
  <c r="B462" i="2"/>
  <c r="E462" i="2" s="1"/>
  <c r="D461" i="2"/>
  <c r="C461" i="2"/>
  <c r="B461" i="2"/>
  <c r="E461" i="2" s="1"/>
  <c r="D460" i="2"/>
  <c r="C460" i="2"/>
  <c r="B460" i="2"/>
  <c r="E460" i="2" s="1"/>
  <c r="D459" i="2"/>
  <c r="C459" i="2"/>
  <c r="B459" i="2"/>
  <c r="E459" i="2" s="1"/>
  <c r="E458" i="2"/>
  <c r="D458" i="2"/>
  <c r="C458" i="2"/>
  <c r="B458" i="2"/>
  <c r="D457" i="2"/>
  <c r="C457" i="2"/>
  <c r="B457" i="2"/>
  <c r="D456" i="2"/>
  <c r="E456" i="2" s="1"/>
  <c r="C456" i="2"/>
  <c r="B456" i="2"/>
  <c r="D455" i="2"/>
  <c r="C455" i="2"/>
  <c r="B455" i="2"/>
  <c r="D454" i="2"/>
  <c r="C454" i="2"/>
  <c r="E454" i="2" s="1"/>
  <c r="B454" i="2"/>
  <c r="D453" i="2"/>
  <c r="C453" i="2"/>
  <c r="B453" i="2"/>
  <c r="E453" i="2" s="1"/>
  <c r="D452" i="2"/>
  <c r="C452" i="2"/>
  <c r="B452" i="2"/>
  <c r="E452" i="2" s="1"/>
  <c r="D451" i="2"/>
  <c r="C451" i="2"/>
  <c r="B451" i="2"/>
  <c r="E450" i="2"/>
  <c r="D450" i="2"/>
  <c r="C450" i="2"/>
  <c r="B450" i="2"/>
  <c r="D449" i="2"/>
  <c r="C449" i="2"/>
  <c r="B449" i="2"/>
  <c r="D448" i="2"/>
  <c r="C448" i="2"/>
  <c r="B448" i="2"/>
  <c r="E448" i="2" s="1"/>
  <c r="D447" i="2"/>
  <c r="C447" i="2"/>
  <c r="B447" i="2"/>
  <c r="D446" i="2"/>
  <c r="C446" i="2"/>
  <c r="B446" i="2"/>
  <c r="E446" i="2" s="1"/>
  <c r="D445" i="2"/>
  <c r="C445" i="2"/>
  <c r="B445" i="2"/>
  <c r="E445" i="2" s="1"/>
  <c r="D444" i="2"/>
  <c r="C444" i="2"/>
  <c r="B444" i="2"/>
  <c r="E444" i="2" s="1"/>
  <c r="D443" i="2"/>
  <c r="C443" i="2"/>
  <c r="B443" i="2"/>
  <c r="E442" i="2"/>
  <c r="D442" i="2"/>
  <c r="C442" i="2"/>
  <c r="B442" i="2"/>
  <c r="D441" i="2"/>
  <c r="C441" i="2"/>
  <c r="B441" i="2"/>
  <c r="D440" i="2"/>
  <c r="E440" i="2" s="1"/>
  <c r="C440" i="2"/>
  <c r="B440" i="2"/>
  <c r="D439" i="2"/>
  <c r="C439" i="2"/>
  <c r="B439" i="2"/>
  <c r="D438" i="2"/>
  <c r="C438" i="2"/>
  <c r="E438" i="2" s="1"/>
  <c r="B438" i="2"/>
  <c r="D437" i="2"/>
  <c r="C437" i="2"/>
  <c r="B437" i="2"/>
  <c r="E437" i="2" s="1"/>
  <c r="D436" i="2"/>
  <c r="C436" i="2"/>
  <c r="B436" i="2"/>
  <c r="E436" i="2" s="1"/>
  <c r="D435" i="2"/>
  <c r="C435" i="2"/>
  <c r="B435" i="2"/>
  <c r="E434" i="2"/>
  <c r="D434" i="2"/>
  <c r="C434" i="2"/>
  <c r="B434" i="2"/>
  <c r="D433" i="2"/>
  <c r="C433" i="2"/>
  <c r="B433" i="2"/>
  <c r="D432" i="2"/>
  <c r="C432" i="2"/>
  <c r="B432" i="2"/>
  <c r="E432" i="2" s="1"/>
  <c r="D431" i="2"/>
  <c r="C431" i="2"/>
  <c r="B431" i="2"/>
  <c r="D430" i="2"/>
  <c r="C430" i="2"/>
  <c r="B430" i="2"/>
  <c r="E430" i="2" s="1"/>
  <c r="D429" i="2"/>
  <c r="C429" i="2"/>
  <c r="B429" i="2"/>
  <c r="E429" i="2" s="1"/>
  <c r="D428" i="2"/>
  <c r="C428" i="2"/>
  <c r="B428" i="2"/>
  <c r="E428" i="2" s="1"/>
  <c r="D427" i="2"/>
  <c r="C427" i="2"/>
  <c r="B427" i="2"/>
  <c r="E427" i="2" s="1"/>
  <c r="E426" i="2"/>
  <c r="D426" i="2"/>
  <c r="C426" i="2"/>
  <c r="B426" i="2"/>
  <c r="D425" i="2"/>
  <c r="C425" i="2"/>
  <c r="B425" i="2"/>
  <c r="D424" i="2"/>
  <c r="E424" i="2" s="1"/>
  <c r="C424" i="2"/>
  <c r="B424" i="2"/>
  <c r="D423" i="2"/>
  <c r="C423" i="2"/>
  <c r="B423" i="2"/>
  <c r="D422" i="2"/>
  <c r="C422" i="2"/>
  <c r="E422" i="2" s="1"/>
  <c r="B422" i="2"/>
  <c r="D421" i="2"/>
  <c r="C421" i="2"/>
  <c r="B421" i="2"/>
  <c r="E421" i="2" s="1"/>
  <c r="D420" i="2"/>
  <c r="C420" i="2"/>
  <c r="B420" i="2"/>
  <c r="E420" i="2" s="1"/>
  <c r="D419" i="2"/>
  <c r="C419" i="2"/>
  <c r="B419" i="2"/>
  <c r="E419" i="2" s="1"/>
  <c r="E418" i="2"/>
  <c r="D418" i="2"/>
  <c r="C418" i="2"/>
  <c r="B418" i="2"/>
  <c r="D417" i="2"/>
  <c r="C417" i="2"/>
  <c r="B417" i="2"/>
  <c r="D416" i="2"/>
  <c r="C416" i="2"/>
  <c r="B416" i="2"/>
  <c r="E416" i="2" s="1"/>
  <c r="D415" i="2"/>
  <c r="C415" i="2"/>
  <c r="B415" i="2"/>
  <c r="D414" i="2"/>
  <c r="C414" i="2"/>
  <c r="B414" i="2"/>
  <c r="E414" i="2" s="1"/>
  <c r="D413" i="2"/>
  <c r="C413" i="2"/>
  <c r="B413" i="2"/>
  <c r="E413" i="2" s="1"/>
  <c r="D412" i="2"/>
  <c r="C412" i="2"/>
  <c r="B412" i="2"/>
  <c r="E412" i="2" s="1"/>
  <c r="D411" i="2"/>
  <c r="C411" i="2"/>
  <c r="B411" i="2"/>
  <c r="E410" i="2"/>
  <c r="D410" i="2"/>
  <c r="C410" i="2"/>
  <c r="B410" i="2"/>
  <c r="D409" i="2"/>
  <c r="C409" i="2"/>
  <c r="B409" i="2"/>
  <c r="D408" i="2"/>
  <c r="E408" i="2" s="1"/>
  <c r="C408" i="2"/>
  <c r="B408" i="2"/>
  <c r="D407" i="2"/>
  <c r="C407" i="2"/>
  <c r="B407" i="2"/>
  <c r="D406" i="2"/>
  <c r="C406" i="2"/>
  <c r="E406" i="2" s="1"/>
  <c r="B406" i="2"/>
  <c r="D405" i="2"/>
  <c r="C405" i="2"/>
  <c r="B405" i="2"/>
  <c r="E405" i="2" s="1"/>
  <c r="D404" i="2"/>
  <c r="C404" i="2"/>
  <c r="B404" i="2"/>
  <c r="E404" i="2" s="1"/>
  <c r="D403" i="2"/>
  <c r="C403" i="2"/>
  <c r="B403" i="2"/>
  <c r="E402" i="2"/>
  <c r="D402" i="2"/>
  <c r="C402" i="2"/>
  <c r="B402" i="2"/>
  <c r="D401" i="2"/>
  <c r="C401" i="2"/>
  <c r="B401" i="2"/>
  <c r="D400" i="2"/>
  <c r="C400" i="2"/>
  <c r="B400" i="2"/>
  <c r="E400" i="2" s="1"/>
  <c r="D399" i="2"/>
  <c r="C399" i="2"/>
  <c r="B399" i="2"/>
  <c r="D398" i="2"/>
  <c r="C398" i="2"/>
  <c r="B398" i="2"/>
  <c r="E398" i="2" s="1"/>
  <c r="D397" i="2"/>
  <c r="C397" i="2"/>
  <c r="B397" i="2"/>
  <c r="E397" i="2" s="1"/>
  <c r="D396" i="2"/>
  <c r="C396" i="2"/>
  <c r="B396" i="2"/>
  <c r="E396" i="2" s="1"/>
  <c r="D395" i="2"/>
  <c r="C395" i="2"/>
  <c r="B395" i="2"/>
  <c r="E395" i="2" s="1"/>
  <c r="E394" i="2"/>
  <c r="D394" i="2"/>
  <c r="C394" i="2"/>
  <c r="B394" i="2"/>
  <c r="D393" i="2"/>
  <c r="C393" i="2"/>
  <c r="B393" i="2"/>
  <c r="D392" i="2"/>
  <c r="E392" i="2" s="1"/>
  <c r="C392" i="2"/>
  <c r="B392" i="2"/>
  <c r="D391" i="2"/>
  <c r="C391" i="2"/>
  <c r="B391" i="2"/>
  <c r="D390" i="2"/>
  <c r="C390" i="2"/>
  <c r="E390" i="2" s="1"/>
  <c r="B390" i="2"/>
  <c r="D389" i="2"/>
  <c r="C389" i="2"/>
  <c r="B389" i="2"/>
  <c r="E389" i="2" s="1"/>
  <c r="D388" i="2"/>
  <c r="C388" i="2"/>
  <c r="B388" i="2"/>
  <c r="E388" i="2" s="1"/>
  <c r="D387" i="2"/>
  <c r="C387" i="2"/>
  <c r="B387" i="2"/>
  <c r="E387" i="2" s="1"/>
  <c r="E386" i="2"/>
  <c r="D386" i="2"/>
  <c r="C386" i="2"/>
  <c r="B386" i="2"/>
  <c r="D385" i="2"/>
  <c r="C385" i="2"/>
  <c r="B385" i="2"/>
  <c r="D384" i="2"/>
  <c r="C384" i="2"/>
  <c r="B384" i="2"/>
  <c r="E384" i="2" s="1"/>
  <c r="D383" i="2"/>
  <c r="C383" i="2"/>
  <c r="B383" i="2"/>
  <c r="D382" i="2"/>
  <c r="C382" i="2"/>
  <c r="B382" i="2"/>
  <c r="E382" i="2" s="1"/>
  <c r="D381" i="2"/>
  <c r="C381" i="2"/>
  <c r="B381" i="2"/>
  <c r="E381" i="2" s="1"/>
  <c r="D380" i="2"/>
  <c r="C380" i="2"/>
  <c r="B380" i="2"/>
  <c r="E380" i="2" s="1"/>
  <c r="D379" i="2"/>
  <c r="C379" i="2"/>
  <c r="B379" i="2"/>
  <c r="E378" i="2"/>
  <c r="D378" i="2"/>
  <c r="C378" i="2"/>
  <c r="B378" i="2"/>
  <c r="E377" i="2"/>
  <c r="D377" i="2"/>
  <c r="C377" i="2"/>
  <c r="B377" i="2"/>
  <c r="E376" i="2"/>
  <c r="D376" i="2"/>
  <c r="C376" i="2"/>
  <c r="B376" i="2"/>
  <c r="E375" i="2"/>
  <c r="D375" i="2"/>
  <c r="C375" i="2"/>
  <c r="B375" i="2"/>
  <c r="E374" i="2"/>
  <c r="D374" i="2"/>
  <c r="C374" i="2"/>
  <c r="B374" i="2"/>
  <c r="E373" i="2"/>
  <c r="D373" i="2"/>
  <c r="C373" i="2"/>
  <c r="B373" i="2"/>
  <c r="E372" i="2"/>
  <c r="D372" i="2"/>
  <c r="C372" i="2"/>
  <c r="B372" i="2"/>
  <c r="E371" i="2"/>
  <c r="D371" i="2"/>
  <c r="C371" i="2"/>
  <c r="B371" i="2"/>
  <c r="E370" i="2"/>
  <c r="D370" i="2"/>
  <c r="C370" i="2"/>
  <c r="B370" i="2"/>
  <c r="E369" i="2"/>
  <c r="D369" i="2"/>
  <c r="C369" i="2"/>
  <c r="B369" i="2"/>
  <c r="E368" i="2"/>
  <c r="D368" i="2"/>
  <c r="C368" i="2"/>
  <c r="B368" i="2"/>
  <c r="E367" i="2"/>
  <c r="D367" i="2"/>
  <c r="C367" i="2"/>
  <c r="B367" i="2"/>
  <c r="E366" i="2"/>
  <c r="D366" i="2"/>
  <c r="C366" i="2"/>
  <c r="B366" i="2"/>
  <c r="E365" i="2"/>
  <c r="D365" i="2"/>
  <c r="C365" i="2"/>
  <c r="B365" i="2"/>
  <c r="E364" i="2"/>
  <c r="D364" i="2"/>
  <c r="C364" i="2"/>
  <c r="B364" i="2"/>
  <c r="E363" i="2"/>
  <c r="D363" i="2"/>
  <c r="C363" i="2"/>
  <c r="B363" i="2"/>
  <c r="E362" i="2"/>
  <c r="D362" i="2"/>
  <c r="C362" i="2"/>
  <c r="B362" i="2"/>
  <c r="E361" i="2"/>
  <c r="D361" i="2"/>
  <c r="C361" i="2"/>
  <c r="B361" i="2"/>
  <c r="E360" i="2"/>
  <c r="D360" i="2"/>
  <c r="C360" i="2"/>
  <c r="B360" i="2"/>
  <c r="E359" i="2"/>
  <c r="D359" i="2"/>
  <c r="C359" i="2"/>
  <c r="B359" i="2"/>
  <c r="E358" i="2"/>
  <c r="D358" i="2"/>
  <c r="C358" i="2"/>
  <c r="B358" i="2"/>
  <c r="E357" i="2"/>
  <c r="D357" i="2"/>
  <c r="C357" i="2"/>
  <c r="B357" i="2"/>
  <c r="E356" i="2"/>
  <c r="D356" i="2"/>
  <c r="C356" i="2"/>
  <c r="B356" i="2"/>
  <c r="E355" i="2"/>
  <c r="D355" i="2"/>
  <c r="C355" i="2"/>
  <c r="B355" i="2"/>
  <c r="E354" i="2"/>
  <c r="D354" i="2"/>
  <c r="C354" i="2"/>
  <c r="B354" i="2"/>
  <c r="E353" i="2"/>
  <c r="D353" i="2"/>
  <c r="C353" i="2"/>
  <c r="B353" i="2"/>
  <c r="E352" i="2"/>
  <c r="D352" i="2"/>
  <c r="C352" i="2"/>
  <c r="B352" i="2"/>
  <c r="E351" i="2"/>
  <c r="D351" i="2"/>
  <c r="C351" i="2"/>
  <c r="B351" i="2"/>
  <c r="E350" i="2"/>
  <c r="D350" i="2"/>
  <c r="C350" i="2"/>
  <c r="B350" i="2"/>
  <c r="E349" i="2"/>
  <c r="D349" i="2"/>
  <c r="C349" i="2"/>
  <c r="B349" i="2"/>
  <c r="E348" i="2"/>
  <c r="D348" i="2"/>
  <c r="C348" i="2"/>
  <c r="B348" i="2"/>
  <c r="E347" i="2"/>
  <c r="D347" i="2"/>
  <c r="C347" i="2"/>
  <c r="B347" i="2"/>
  <c r="E346" i="2"/>
  <c r="D346" i="2"/>
  <c r="C346" i="2"/>
  <c r="B346" i="2"/>
  <c r="E345" i="2"/>
  <c r="D345" i="2"/>
  <c r="C345" i="2"/>
  <c r="B345" i="2"/>
  <c r="E344" i="2"/>
  <c r="D344" i="2"/>
  <c r="C344" i="2"/>
  <c r="B344" i="2"/>
  <c r="E343" i="2"/>
  <c r="D343" i="2"/>
  <c r="C343" i="2"/>
  <c r="B343" i="2"/>
  <c r="E342" i="2"/>
  <c r="D342" i="2"/>
  <c r="C342" i="2"/>
  <c r="B342" i="2"/>
  <c r="E341" i="2"/>
  <c r="D341" i="2"/>
  <c r="C341" i="2"/>
  <c r="B341" i="2"/>
  <c r="E340" i="2"/>
  <c r="D340" i="2"/>
  <c r="C340" i="2"/>
  <c r="B340" i="2"/>
  <c r="E339" i="2"/>
  <c r="D339" i="2"/>
  <c r="C339" i="2"/>
  <c r="B339" i="2"/>
  <c r="E338" i="2"/>
  <c r="D338" i="2"/>
  <c r="C338" i="2"/>
  <c r="B338" i="2"/>
  <c r="E337" i="2"/>
  <c r="D337" i="2"/>
  <c r="C337" i="2"/>
  <c r="B337" i="2"/>
  <c r="E336" i="2"/>
  <c r="D336" i="2"/>
  <c r="C336" i="2"/>
  <c r="B336" i="2"/>
  <c r="E335" i="2"/>
  <c r="D335" i="2"/>
  <c r="C335" i="2"/>
  <c r="B335" i="2"/>
  <c r="E334" i="2"/>
  <c r="D334" i="2"/>
  <c r="C334" i="2"/>
  <c r="B334" i="2"/>
  <c r="E333" i="2"/>
  <c r="D333" i="2"/>
  <c r="C333" i="2"/>
  <c r="B333" i="2"/>
  <c r="E332" i="2"/>
  <c r="D332" i="2"/>
  <c r="C332" i="2"/>
  <c r="B332" i="2"/>
  <c r="E331" i="2"/>
  <c r="D331" i="2"/>
  <c r="C331" i="2"/>
  <c r="B331" i="2"/>
  <c r="E330" i="2"/>
  <c r="D330" i="2"/>
  <c r="C330" i="2"/>
  <c r="B330" i="2"/>
  <c r="E329" i="2"/>
  <c r="D329" i="2"/>
  <c r="C329" i="2"/>
  <c r="B329" i="2"/>
  <c r="E328" i="2"/>
  <c r="D328" i="2"/>
  <c r="C328" i="2"/>
  <c r="B328" i="2"/>
  <c r="E327" i="2"/>
  <c r="D327" i="2"/>
  <c r="C327" i="2"/>
  <c r="B327" i="2"/>
  <c r="E326" i="2"/>
  <c r="D326" i="2"/>
  <c r="C326" i="2"/>
  <c r="B326" i="2"/>
  <c r="E325" i="2"/>
  <c r="D325" i="2"/>
  <c r="C325" i="2"/>
  <c r="B325" i="2"/>
  <c r="E324" i="2"/>
  <c r="D324" i="2"/>
  <c r="C324" i="2"/>
  <c r="B324" i="2"/>
  <c r="E323" i="2"/>
  <c r="D323" i="2"/>
  <c r="C323" i="2"/>
  <c r="B323" i="2"/>
  <c r="E322" i="2"/>
  <c r="D322" i="2"/>
  <c r="C322" i="2"/>
  <c r="B322" i="2"/>
  <c r="E321" i="2"/>
  <c r="D321" i="2"/>
  <c r="C321" i="2"/>
  <c r="B321" i="2"/>
  <c r="E320" i="2"/>
  <c r="D320" i="2"/>
  <c r="C320" i="2"/>
  <c r="B320" i="2"/>
  <c r="E319" i="2"/>
  <c r="D319" i="2"/>
  <c r="C319" i="2"/>
  <c r="B319" i="2"/>
  <c r="E318" i="2"/>
  <c r="D318" i="2"/>
  <c r="C318" i="2"/>
  <c r="B318" i="2"/>
  <c r="E317" i="2"/>
  <c r="D317" i="2"/>
  <c r="C317" i="2"/>
  <c r="B317" i="2"/>
  <c r="E316" i="2"/>
  <c r="D316" i="2"/>
  <c r="C316" i="2"/>
  <c r="B316" i="2"/>
  <c r="E315" i="2"/>
  <c r="D315" i="2"/>
  <c r="C315" i="2"/>
  <c r="B315" i="2"/>
  <c r="E314" i="2"/>
  <c r="D314" i="2"/>
  <c r="C314" i="2"/>
  <c r="B314" i="2"/>
  <c r="E313" i="2"/>
  <c r="D313" i="2"/>
  <c r="C313" i="2"/>
  <c r="B313" i="2"/>
  <c r="E312" i="2"/>
  <c r="D312" i="2"/>
  <c r="C312" i="2"/>
  <c r="B312" i="2"/>
  <c r="E311" i="2"/>
  <c r="D311" i="2"/>
  <c r="C311" i="2"/>
  <c r="B311" i="2"/>
  <c r="E310" i="2"/>
  <c r="D310" i="2"/>
  <c r="C310" i="2"/>
  <c r="B310" i="2"/>
  <c r="E309" i="2"/>
  <c r="D309" i="2"/>
  <c r="C309" i="2"/>
  <c r="B309" i="2"/>
  <c r="E308" i="2"/>
  <c r="D308" i="2"/>
  <c r="C308" i="2"/>
  <c r="B308" i="2"/>
  <c r="E307" i="2"/>
  <c r="D307" i="2"/>
  <c r="C307" i="2"/>
  <c r="B307" i="2"/>
  <c r="E306" i="2"/>
  <c r="D306" i="2"/>
  <c r="C306" i="2"/>
  <c r="B306" i="2"/>
  <c r="E305" i="2"/>
  <c r="D305" i="2"/>
  <c r="C305" i="2"/>
  <c r="B305" i="2"/>
  <c r="E304" i="2"/>
  <c r="D304" i="2"/>
  <c r="C304" i="2"/>
  <c r="B304" i="2"/>
  <c r="E303" i="2"/>
  <c r="D303" i="2"/>
  <c r="C303" i="2"/>
  <c r="B303" i="2"/>
  <c r="E302" i="2"/>
  <c r="D302" i="2"/>
  <c r="C302" i="2"/>
  <c r="B302" i="2"/>
  <c r="E301" i="2"/>
  <c r="D301" i="2"/>
  <c r="C301" i="2"/>
  <c r="B301" i="2"/>
  <c r="E300" i="2"/>
  <c r="D300" i="2"/>
  <c r="C300" i="2"/>
  <c r="B300" i="2"/>
  <c r="E299" i="2"/>
  <c r="D299" i="2"/>
  <c r="C299" i="2"/>
  <c r="B299" i="2"/>
  <c r="E298" i="2"/>
  <c r="D298" i="2"/>
  <c r="C298" i="2"/>
  <c r="B298" i="2"/>
  <c r="E297" i="2"/>
  <c r="D297" i="2"/>
  <c r="C297" i="2"/>
  <c r="B297" i="2"/>
  <c r="E296" i="2"/>
  <c r="D296" i="2"/>
  <c r="C296" i="2"/>
  <c r="B296" i="2"/>
  <c r="E295" i="2"/>
  <c r="D295" i="2"/>
  <c r="C295" i="2"/>
  <c r="B295" i="2"/>
  <c r="E294" i="2"/>
  <c r="D294" i="2"/>
  <c r="C294" i="2"/>
  <c r="B294" i="2"/>
  <c r="E293" i="2"/>
  <c r="D293" i="2"/>
  <c r="C293" i="2"/>
  <c r="B293" i="2"/>
  <c r="E292" i="2"/>
  <c r="D292" i="2"/>
  <c r="C292" i="2"/>
  <c r="B292" i="2"/>
  <c r="E291" i="2"/>
  <c r="D291" i="2"/>
  <c r="C291" i="2"/>
  <c r="B291" i="2"/>
  <c r="E290" i="2"/>
  <c r="D290" i="2"/>
  <c r="C290" i="2"/>
  <c r="B290" i="2"/>
  <c r="E289" i="2"/>
  <c r="D289" i="2"/>
  <c r="C289" i="2"/>
  <c r="B289" i="2"/>
  <c r="E288" i="2"/>
  <c r="D288" i="2"/>
  <c r="C288" i="2"/>
  <c r="B288" i="2"/>
  <c r="E287" i="2"/>
  <c r="D287" i="2"/>
  <c r="C287" i="2"/>
  <c r="B287" i="2"/>
  <c r="E286" i="2"/>
  <c r="D286" i="2"/>
  <c r="C286" i="2"/>
  <c r="B286" i="2"/>
  <c r="E285" i="2"/>
  <c r="D285" i="2"/>
  <c r="C285" i="2"/>
  <c r="B285" i="2"/>
  <c r="E284" i="2"/>
  <c r="D284" i="2"/>
  <c r="C284" i="2"/>
  <c r="B284" i="2"/>
  <c r="E283" i="2"/>
  <c r="D283" i="2"/>
  <c r="C283" i="2"/>
  <c r="B283" i="2"/>
  <c r="E282" i="2"/>
  <c r="D282" i="2"/>
  <c r="C282" i="2"/>
  <c r="B282" i="2"/>
  <c r="E281" i="2"/>
  <c r="D281" i="2"/>
  <c r="C281" i="2"/>
  <c r="B281" i="2"/>
  <c r="E280" i="2"/>
  <c r="D280" i="2"/>
  <c r="C280" i="2"/>
  <c r="B280" i="2"/>
  <c r="E279" i="2"/>
  <c r="D279" i="2"/>
  <c r="C279" i="2"/>
  <c r="B279" i="2"/>
  <c r="E278" i="2"/>
  <c r="D278" i="2"/>
  <c r="C278" i="2"/>
  <c r="B278" i="2"/>
  <c r="E277" i="2"/>
  <c r="D277" i="2"/>
  <c r="C277" i="2"/>
  <c r="B277" i="2"/>
  <c r="E276" i="2"/>
  <c r="D276" i="2"/>
  <c r="C276" i="2"/>
  <c r="B276" i="2"/>
  <c r="E275" i="2"/>
  <c r="D275" i="2"/>
  <c r="C275" i="2"/>
  <c r="B275" i="2"/>
  <c r="E274" i="2"/>
  <c r="D274" i="2"/>
  <c r="C274" i="2"/>
  <c r="B274" i="2"/>
  <c r="E273" i="2"/>
  <c r="D273" i="2"/>
  <c r="C273" i="2"/>
  <c r="B273" i="2"/>
  <c r="E272" i="2"/>
  <c r="D272" i="2"/>
  <c r="C272" i="2"/>
  <c r="B272" i="2"/>
  <c r="E271" i="2"/>
  <c r="D271" i="2"/>
  <c r="C271" i="2"/>
  <c r="B271" i="2"/>
  <c r="E270" i="2"/>
  <c r="D270" i="2"/>
  <c r="C270" i="2"/>
  <c r="B270" i="2"/>
  <c r="E269" i="2"/>
  <c r="D269" i="2"/>
  <c r="C269" i="2"/>
  <c r="B269" i="2"/>
  <c r="E268" i="2"/>
  <c r="D268" i="2"/>
  <c r="C268" i="2"/>
  <c r="B268" i="2"/>
  <c r="E267" i="2"/>
  <c r="D267" i="2"/>
  <c r="C267" i="2"/>
  <c r="B267" i="2"/>
  <c r="E266" i="2"/>
  <c r="D266" i="2"/>
  <c r="C266" i="2"/>
  <c r="B266" i="2"/>
  <c r="E265" i="2"/>
  <c r="D265" i="2"/>
  <c r="C265" i="2"/>
  <c r="B265" i="2"/>
  <c r="E264" i="2"/>
  <c r="D264" i="2"/>
  <c r="C264" i="2"/>
  <c r="B264" i="2"/>
  <c r="E263" i="2"/>
  <c r="D263" i="2"/>
  <c r="C263" i="2"/>
  <c r="B263" i="2"/>
  <c r="E262" i="2"/>
  <c r="D262" i="2"/>
  <c r="C262" i="2"/>
  <c r="B262" i="2"/>
  <c r="E261" i="2"/>
  <c r="D261" i="2"/>
  <c r="C261" i="2"/>
  <c r="B261" i="2"/>
  <c r="E260" i="2"/>
  <c r="D260" i="2"/>
  <c r="C260" i="2"/>
  <c r="B260" i="2"/>
  <c r="E259" i="2"/>
  <c r="D259" i="2"/>
  <c r="C259" i="2"/>
  <c r="B259" i="2"/>
  <c r="E258" i="2"/>
  <c r="D258" i="2"/>
  <c r="C258" i="2"/>
  <c r="B258" i="2"/>
  <c r="E257" i="2"/>
  <c r="D257" i="2"/>
  <c r="C257" i="2"/>
  <c r="B257" i="2"/>
  <c r="E256" i="2"/>
  <c r="D256" i="2"/>
  <c r="C256" i="2"/>
  <c r="B256" i="2"/>
  <c r="E255" i="2"/>
  <c r="D255" i="2"/>
  <c r="C255" i="2"/>
  <c r="B255" i="2"/>
  <c r="E254" i="2"/>
  <c r="D254" i="2"/>
  <c r="C254" i="2"/>
  <c r="B254" i="2"/>
  <c r="E253" i="2"/>
  <c r="D253" i="2"/>
  <c r="C253" i="2"/>
  <c r="B253" i="2"/>
  <c r="E252" i="2"/>
  <c r="D252" i="2"/>
  <c r="C252" i="2"/>
  <c r="B252" i="2"/>
  <c r="E251" i="2"/>
  <c r="D251" i="2"/>
  <c r="C251" i="2"/>
  <c r="B251" i="2"/>
  <c r="E250" i="2"/>
  <c r="D250" i="2"/>
  <c r="C250" i="2"/>
  <c r="B250" i="2"/>
  <c r="E249" i="2"/>
  <c r="D249" i="2"/>
  <c r="C249" i="2"/>
  <c r="B249" i="2"/>
  <c r="E248" i="2"/>
  <c r="D248" i="2"/>
  <c r="C248" i="2"/>
  <c r="B248" i="2"/>
  <c r="E247" i="2"/>
  <c r="D247" i="2"/>
  <c r="C247" i="2"/>
  <c r="B247" i="2"/>
  <c r="E246" i="2"/>
  <c r="D246" i="2"/>
  <c r="C246" i="2"/>
  <c r="B246" i="2"/>
  <c r="E245" i="2"/>
  <c r="D245" i="2"/>
  <c r="C245" i="2"/>
  <c r="B245" i="2"/>
  <c r="E244" i="2"/>
  <c r="D244" i="2"/>
  <c r="C244" i="2"/>
  <c r="B244" i="2"/>
  <c r="E243" i="2"/>
  <c r="D243" i="2"/>
  <c r="C243" i="2"/>
  <c r="B243" i="2"/>
  <c r="E242" i="2"/>
  <c r="D242" i="2"/>
  <c r="C242" i="2"/>
  <c r="B242" i="2"/>
  <c r="E241" i="2"/>
  <c r="D241" i="2"/>
  <c r="C241" i="2"/>
  <c r="B241" i="2"/>
  <c r="E240" i="2"/>
  <c r="D240" i="2"/>
  <c r="C240" i="2"/>
  <c r="B240" i="2"/>
  <c r="E239" i="2"/>
  <c r="D239" i="2"/>
  <c r="C239" i="2"/>
  <c r="B239" i="2"/>
  <c r="E238" i="2"/>
  <c r="D238" i="2"/>
  <c r="C238" i="2"/>
  <c r="B238" i="2"/>
  <c r="E237" i="2"/>
  <c r="D237" i="2"/>
  <c r="C237" i="2"/>
  <c r="B237" i="2"/>
  <c r="E236" i="2"/>
  <c r="D236" i="2"/>
  <c r="C236" i="2"/>
  <c r="B236" i="2"/>
  <c r="E235" i="2"/>
  <c r="D235" i="2"/>
  <c r="C235" i="2"/>
  <c r="B235" i="2"/>
  <c r="E234" i="2"/>
  <c r="D234" i="2"/>
  <c r="C234" i="2"/>
  <c r="B234" i="2"/>
  <c r="E233" i="2"/>
  <c r="D233" i="2"/>
  <c r="C233" i="2"/>
  <c r="B233" i="2"/>
  <c r="E232" i="2"/>
  <c r="D232" i="2"/>
  <c r="C232" i="2"/>
  <c r="B232" i="2"/>
  <c r="E231" i="2"/>
  <c r="D231" i="2"/>
  <c r="C231" i="2"/>
  <c r="B231" i="2"/>
  <c r="E230" i="2"/>
  <c r="D230" i="2"/>
  <c r="C230" i="2"/>
  <c r="B230" i="2"/>
  <c r="E229" i="2"/>
  <c r="D229" i="2"/>
  <c r="C229" i="2"/>
  <c r="B229" i="2"/>
  <c r="E228" i="2"/>
  <c r="D228" i="2"/>
  <c r="C228" i="2"/>
  <c r="B228" i="2"/>
  <c r="E227" i="2"/>
  <c r="D227" i="2"/>
  <c r="C227" i="2"/>
  <c r="B227" i="2"/>
  <c r="E226" i="2"/>
  <c r="D226" i="2"/>
  <c r="C226" i="2"/>
  <c r="B226" i="2"/>
  <c r="E225" i="2"/>
  <c r="D225" i="2"/>
  <c r="C225" i="2"/>
  <c r="B225" i="2"/>
  <c r="E224" i="2"/>
  <c r="D224" i="2"/>
  <c r="C224" i="2"/>
  <c r="B224" i="2"/>
  <c r="E223" i="2"/>
  <c r="D223" i="2"/>
  <c r="C223" i="2"/>
  <c r="B223" i="2"/>
  <c r="E222" i="2"/>
  <c r="D222" i="2"/>
  <c r="C222" i="2"/>
  <c r="B222" i="2"/>
  <c r="E221" i="2"/>
  <c r="D221" i="2"/>
  <c r="C221" i="2"/>
  <c r="B221" i="2"/>
  <c r="E220" i="2"/>
  <c r="D220" i="2"/>
  <c r="C220" i="2"/>
  <c r="B220" i="2"/>
  <c r="E219" i="2"/>
  <c r="D219" i="2"/>
  <c r="C219" i="2"/>
  <c r="B219" i="2"/>
  <c r="E218" i="2"/>
  <c r="D218" i="2"/>
  <c r="C218" i="2"/>
  <c r="B218" i="2"/>
  <c r="E217" i="2"/>
  <c r="D217" i="2"/>
  <c r="C217" i="2"/>
  <c r="B217" i="2"/>
  <c r="E216" i="2"/>
  <c r="D216" i="2"/>
  <c r="C216" i="2"/>
  <c r="B216" i="2"/>
  <c r="E215" i="2"/>
  <c r="D215" i="2"/>
  <c r="C215" i="2"/>
  <c r="B215" i="2"/>
  <c r="E214" i="2"/>
  <c r="D214" i="2"/>
  <c r="C214" i="2"/>
  <c r="B214" i="2"/>
  <c r="E213" i="2"/>
  <c r="D213" i="2"/>
  <c r="C213" i="2"/>
  <c r="B213" i="2"/>
  <c r="E212" i="2"/>
  <c r="D212" i="2"/>
  <c r="C212" i="2"/>
  <c r="B212" i="2"/>
  <c r="E211" i="2"/>
  <c r="D211" i="2"/>
  <c r="C211" i="2"/>
  <c r="B211" i="2"/>
  <c r="E210" i="2"/>
  <c r="D210" i="2"/>
  <c r="C210" i="2"/>
  <c r="B210" i="2"/>
  <c r="E209" i="2"/>
  <c r="D209" i="2"/>
  <c r="C209" i="2"/>
  <c r="B209" i="2"/>
  <c r="E208" i="2"/>
  <c r="D208" i="2"/>
  <c r="C208" i="2"/>
  <c r="B208" i="2"/>
  <c r="E207" i="2"/>
  <c r="D207" i="2"/>
  <c r="C207" i="2"/>
  <c r="B207" i="2"/>
  <c r="E206" i="2"/>
  <c r="D206" i="2"/>
  <c r="C206" i="2"/>
  <c r="B206" i="2"/>
  <c r="E205" i="2"/>
  <c r="D205" i="2"/>
  <c r="C205" i="2"/>
  <c r="B205" i="2"/>
  <c r="E204" i="2"/>
  <c r="D204" i="2"/>
  <c r="C204" i="2"/>
  <c r="B204" i="2"/>
  <c r="E203" i="2"/>
  <c r="D203" i="2"/>
  <c r="C203" i="2"/>
  <c r="B203" i="2"/>
  <c r="E202" i="2"/>
  <c r="D202" i="2"/>
  <c r="C202" i="2"/>
  <c r="B202" i="2"/>
  <c r="E201" i="2"/>
  <c r="D201" i="2"/>
  <c r="C201" i="2"/>
  <c r="B201" i="2"/>
  <c r="E200" i="2"/>
  <c r="D200" i="2"/>
  <c r="C200" i="2"/>
  <c r="B200" i="2"/>
  <c r="E199" i="2"/>
  <c r="D199" i="2"/>
  <c r="C199" i="2"/>
  <c r="B199" i="2"/>
  <c r="E198" i="2"/>
  <c r="D198" i="2"/>
  <c r="C198" i="2"/>
  <c r="B198" i="2"/>
  <c r="E197" i="2"/>
  <c r="D197" i="2"/>
  <c r="C197" i="2"/>
  <c r="B197" i="2"/>
  <c r="E196" i="2"/>
  <c r="D196" i="2"/>
  <c r="C196" i="2"/>
  <c r="B196" i="2"/>
  <c r="E195" i="2"/>
  <c r="D195" i="2"/>
  <c r="C195" i="2"/>
  <c r="B195" i="2"/>
  <c r="E194" i="2"/>
  <c r="D194" i="2"/>
  <c r="C194" i="2"/>
  <c r="B194" i="2"/>
  <c r="E193" i="2"/>
  <c r="D193" i="2"/>
  <c r="C193" i="2"/>
  <c r="B193" i="2"/>
  <c r="E192" i="2"/>
  <c r="D192" i="2"/>
  <c r="C192" i="2"/>
  <c r="B192" i="2"/>
  <c r="E191" i="2"/>
  <c r="D191" i="2"/>
  <c r="C191" i="2"/>
  <c r="B191" i="2"/>
  <c r="E190" i="2"/>
  <c r="D190" i="2"/>
  <c r="C190" i="2"/>
  <c r="B190" i="2"/>
  <c r="E189" i="2"/>
  <c r="D189" i="2"/>
  <c r="C189" i="2"/>
  <c r="B189" i="2"/>
  <c r="E188" i="2"/>
  <c r="D188" i="2"/>
  <c r="C188" i="2"/>
  <c r="B188" i="2"/>
  <c r="E187" i="2"/>
  <c r="D187" i="2"/>
  <c r="C187" i="2"/>
  <c r="B187" i="2"/>
  <c r="E186" i="2"/>
  <c r="D186" i="2"/>
  <c r="C186" i="2"/>
  <c r="B186" i="2"/>
  <c r="E185" i="2"/>
  <c r="D185" i="2"/>
  <c r="C185" i="2"/>
  <c r="B185" i="2"/>
  <c r="E184" i="2"/>
  <c r="D184" i="2"/>
  <c r="C184" i="2"/>
  <c r="B184" i="2"/>
  <c r="E183" i="2"/>
  <c r="D183" i="2"/>
  <c r="C183" i="2"/>
  <c r="B183" i="2"/>
  <c r="E182" i="2"/>
  <c r="D182" i="2"/>
  <c r="C182" i="2"/>
  <c r="B182" i="2"/>
  <c r="E181" i="2"/>
  <c r="D181" i="2"/>
  <c r="C181" i="2"/>
  <c r="B181" i="2"/>
  <c r="E180" i="2"/>
  <c r="D180" i="2"/>
  <c r="C180" i="2"/>
  <c r="B180" i="2"/>
  <c r="E179" i="2"/>
  <c r="D179" i="2"/>
  <c r="C179" i="2"/>
  <c r="B179" i="2"/>
  <c r="E178" i="2"/>
  <c r="D178" i="2"/>
  <c r="C178" i="2"/>
  <c r="B178" i="2"/>
  <c r="E177" i="2"/>
  <c r="D177" i="2"/>
  <c r="C177" i="2"/>
  <c r="B177" i="2"/>
  <c r="E176" i="2"/>
  <c r="D176" i="2"/>
  <c r="C176" i="2"/>
  <c r="B176" i="2"/>
  <c r="E175" i="2"/>
  <c r="D175" i="2"/>
  <c r="C175" i="2"/>
  <c r="B175" i="2"/>
  <c r="E174" i="2"/>
  <c r="D174" i="2"/>
  <c r="C174" i="2"/>
  <c r="B174" i="2"/>
  <c r="E173" i="2"/>
  <c r="D173" i="2"/>
  <c r="C173" i="2"/>
  <c r="B173" i="2"/>
  <c r="E172" i="2"/>
  <c r="D172" i="2"/>
  <c r="C172" i="2"/>
  <c r="B172" i="2"/>
  <c r="E171" i="2"/>
  <c r="D171" i="2"/>
  <c r="C171" i="2"/>
  <c r="B171" i="2"/>
  <c r="E170" i="2"/>
  <c r="D170" i="2"/>
  <c r="C170" i="2"/>
  <c r="B170" i="2"/>
  <c r="E169" i="2"/>
  <c r="D169" i="2"/>
  <c r="C169" i="2"/>
  <c r="B169" i="2"/>
  <c r="E168" i="2"/>
  <c r="D168" i="2"/>
  <c r="C168" i="2"/>
  <c r="B168" i="2"/>
  <c r="E167" i="2"/>
  <c r="D167" i="2"/>
  <c r="C167" i="2"/>
  <c r="B167" i="2"/>
  <c r="E166" i="2"/>
  <c r="D166" i="2"/>
  <c r="C166" i="2"/>
  <c r="B166" i="2"/>
  <c r="E165" i="2"/>
  <c r="D165" i="2"/>
  <c r="C165" i="2"/>
  <c r="B165" i="2"/>
  <c r="E164" i="2"/>
  <c r="D164" i="2"/>
  <c r="C164" i="2"/>
  <c r="B164" i="2"/>
  <c r="E163" i="2"/>
  <c r="D163" i="2"/>
  <c r="C163" i="2"/>
  <c r="B163" i="2"/>
  <c r="E162" i="2"/>
  <c r="D162" i="2"/>
  <c r="C162" i="2"/>
  <c r="B162" i="2"/>
  <c r="E161" i="2"/>
  <c r="D161" i="2"/>
  <c r="C161" i="2"/>
  <c r="B161" i="2"/>
  <c r="E160" i="2"/>
  <c r="D160" i="2"/>
  <c r="C160" i="2"/>
  <c r="B160" i="2"/>
  <c r="E159" i="2"/>
  <c r="D159" i="2"/>
  <c r="C159" i="2"/>
  <c r="B159" i="2"/>
  <c r="E158" i="2"/>
  <c r="D158" i="2"/>
  <c r="C158" i="2"/>
  <c r="B158" i="2"/>
  <c r="E157" i="2"/>
  <c r="D157" i="2"/>
  <c r="C157" i="2"/>
  <c r="B157" i="2"/>
  <c r="E156" i="2"/>
  <c r="D156" i="2"/>
  <c r="C156" i="2"/>
  <c r="B156" i="2"/>
  <c r="E155" i="2"/>
  <c r="D155" i="2"/>
  <c r="C155" i="2"/>
  <c r="B155" i="2"/>
  <c r="E154" i="2"/>
  <c r="D154" i="2"/>
  <c r="C154" i="2"/>
  <c r="B154" i="2"/>
  <c r="E153" i="2"/>
  <c r="D153" i="2"/>
  <c r="C153" i="2"/>
  <c r="B153" i="2"/>
  <c r="E152" i="2"/>
  <c r="D152" i="2"/>
  <c r="C152" i="2"/>
  <c r="B152" i="2"/>
  <c r="E151" i="2"/>
  <c r="D151" i="2"/>
  <c r="C151" i="2"/>
  <c r="B151" i="2"/>
  <c r="E150" i="2"/>
  <c r="D150" i="2"/>
  <c r="C150" i="2"/>
  <c r="B150" i="2"/>
  <c r="E149" i="2"/>
  <c r="D149" i="2"/>
  <c r="C149" i="2"/>
  <c r="B149" i="2"/>
  <c r="E148" i="2"/>
  <c r="D148" i="2"/>
  <c r="C148" i="2"/>
  <c r="B148" i="2"/>
  <c r="E147" i="2"/>
  <c r="D147" i="2"/>
  <c r="C147" i="2"/>
  <c r="B147" i="2"/>
  <c r="E146" i="2"/>
  <c r="D146" i="2"/>
  <c r="C146" i="2"/>
  <c r="B146" i="2"/>
  <c r="E145" i="2"/>
  <c r="D145" i="2"/>
  <c r="C145" i="2"/>
  <c r="B145" i="2"/>
  <c r="E144" i="2"/>
  <c r="D144" i="2"/>
  <c r="C144" i="2"/>
  <c r="B144" i="2"/>
  <c r="E143" i="2"/>
  <c r="D143" i="2"/>
  <c r="C143" i="2"/>
  <c r="B143" i="2"/>
  <c r="E142" i="2"/>
  <c r="D142" i="2"/>
  <c r="C142" i="2"/>
  <c r="B142" i="2"/>
  <c r="E141" i="2"/>
  <c r="D141" i="2"/>
  <c r="C141" i="2"/>
  <c r="B141" i="2"/>
  <c r="E140" i="2"/>
  <c r="D140" i="2"/>
  <c r="C140" i="2"/>
  <c r="B140" i="2"/>
  <c r="E139" i="2"/>
  <c r="D139" i="2"/>
  <c r="C139" i="2"/>
  <c r="B139" i="2"/>
  <c r="E138" i="2"/>
  <c r="D138" i="2"/>
  <c r="C138" i="2"/>
  <c r="B138" i="2"/>
  <c r="E137" i="2"/>
  <c r="D137" i="2"/>
  <c r="C137" i="2"/>
  <c r="B137" i="2"/>
  <c r="E136" i="2"/>
  <c r="D136" i="2"/>
  <c r="C136" i="2"/>
  <c r="B136" i="2"/>
  <c r="E135" i="2"/>
  <c r="D135" i="2"/>
  <c r="C135" i="2"/>
  <c r="B135" i="2"/>
  <c r="E134" i="2"/>
  <c r="D134" i="2"/>
  <c r="C134" i="2"/>
  <c r="B134" i="2"/>
  <c r="E133" i="2"/>
  <c r="D133" i="2"/>
  <c r="C133" i="2"/>
  <c r="B133" i="2"/>
  <c r="E132" i="2"/>
  <c r="D132" i="2"/>
  <c r="C132" i="2"/>
  <c r="B132" i="2"/>
  <c r="E131" i="2"/>
  <c r="D131" i="2"/>
  <c r="C131" i="2"/>
  <c r="B131" i="2"/>
  <c r="E130" i="2"/>
  <c r="D130" i="2"/>
  <c r="C130" i="2"/>
  <c r="B130" i="2"/>
  <c r="E129" i="2"/>
  <c r="D129" i="2"/>
  <c r="C129" i="2"/>
  <c r="B129" i="2"/>
  <c r="E128" i="2"/>
  <c r="D128" i="2"/>
  <c r="C128" i="2"/>
  <c r="B128" i="2"/>
  <c r="E127" i="2"/>
  <c r="D127" i="2"/>
  <c r="C127" i="2"/>
  <c r="B127" i="2"/>
  <c r="E126" i="2"/>
  <c r="D126" i="2"/>
  <c r="C126" i="2"/>
  <c r="B126" i="2"/>
  <c r="E125" i="2"/>
  <c r="D125" i="2"/>
  <c r="C125" i="2"/>
  <c r="B125" i="2"/>
  <c r="E124" i="2"/>
  <c r="D124" i="2"/>
  <c r="C124" i="2"/>
  <c r="B124" i="2"/>
  <c r="E123" i="2"/>
  <c r="D123" i="2"/>
  <c r="C123" i="2"/>
  <c r="B123" i="2"/>
  <c r="E122" i="2"/>
  <c r="D122" i="2"/>
  <c r="C122" i="2"/>
  <c r="B122" i="2"/>
  <c r="E121" i="2"/>
  <c r="D121" i="2"/>
  <c r="C121" i="2"/>
  <c r="B121" i="2"/>
  <c r="E120" i="2"/>
  <c r="D120" i="2"/>
  <c r="C120" i="2"/>
  <c r="B120" i="2"/>
  <c r="E119" i="2"/>
  <c r="D119" i="2"/>
  <c r="C119" i="2"/>
  <c r="B119" i="2"/>
  <c r="E118" i="2"/>
  <c r="D118" i="2"/>
  <c r="C118" i="2"/>
  <c r="B118" i="2"/>
  <c r="E117" i="2"/>
  <c r="D117" i="2"/>
  <c r="C117" i="2"/>
  <c r="B117" i="2"/>
  <c r="E116" i="2"/>
  <c r="D116" i="2"/>
  <c r="C116" i="2"/>
  <c r="B116" i="2"/>
  <c r="E115" i="2"/>
  <c r="D115" i="2"/>
  <c r="C115" i="2"/>
  <c r="B115" i="2"/>
  <c r="E114" i="2"/>
  <c r="D114" i="2"/>
  <c r="C114" i="2"/>
  <c r="B114" i="2"/>
  <c r="E113" i="2"/>
  <c r="D113" i="2"/>
  <c r="C113" i="2"/>
  <c r="B113" i="2"/>
  <c r="E112" i="2"/>
  <c r="D112" i="2"/>
  <c r="C112" i="2"/>
  <c r="B112" i="2"/>
  <c r="E111" i="2"/>
  <c r="D111" i="2"/>
  <c r="C111" i="2"/>
  <c r="B111" i="2"/>
  <c r="E110" i="2"/>
  <c r="D110" i="2"/>
  <c r="C110" i="2"/>
  <c r="B110" i="2"/>
  <c r="E109" i="2"/>
  <c r="D109" i="2"/>
  <c r="C109" i="2"/>
  <c r="B109" i="2"/>
  <c r="E108" i="2"/>
  <c r="D108" i="2"/>
  <c r="C108" i="2"/>
  <c r="B108" i="2"/>
  <c r="E107" i="2"/>
  <c r="D107" i="2"/>
  <c r="C107" i="2"/>
  <c r="B107" i="2"/>
  <c r="E106" i="2"/>
  <c r="D106" i="2"/>
  <c r="C106" i="2"/>
  <c r="B106" i="2"/>
  <c r="E105" i="2"/>
  <c r="D105" i="2"/>
  <c r="C105" i="2"/>
  <c r="B105" i="2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100" i="2"/>
  <c r="D100" i="2"/>
  <c r="C100" i="2"/>
  <c r="B100" i="2"/>
  <c r="E99" i="2"/>
  <c r="D99" i="2"/>
  <c r="C99" i="2"/>
  <c r="B99" i="2"/>
  <c r="G98" i="2"/>
  <c r="D98" i="2"/>
  <c r="C98" i="2"/>
  <c r="B98" i="2"/>
  <c r="E98" i="2" s="1"/>
  <c r="D97" i="2"/>
  <c r="C97" i="2"/>
  <c r="B97" i="2"/>
  <c r="E97" i="2" s="1"/>
  <c r="H96" i="2"/>
  <c r="D96" i="2"/>
  <c r="C96" i="2"/>
  <c r="B96" i="2"/>
  <c r="E96" i="2" s="1"/>
  <c r="D95" i="2"/>
  <c r="C95" i="2"/>
  <c r="E95" i="2" s="1"/>
  <c r="B95" i="2"/>
  <c r="G94" i="2"/>
  <c r="D94" i="2"/>
  <c r="C94" i="2"/>
  <c r="B94" i="2"/>
  <c r="E94" i="2" s="1"/>
  <c r="D93" i="2"/>
  <c r="C93" i="2"/>
  <c r="B93" i="2"/>
  <c r="E93" i="2" s="1"/>
  <c r="D92" i="2"/>
  <c r="C92" i="2"/>
  <c r="B92" i="2"/>
  <c r="E92" i="2" s="1"/>
  <c r="D91" i="2"/>
  <c r="C91" i="2"/>
  <c r="B91" i="2"/>
  <c r="E91" i="2" s="1"/>
  <c r="G90" i="2"/>
  <c r="E90" i="2"/>
  <c r="D90" i="2"/>
  <c r="C90" i="2"/>
  <c r="B90" i="2"/>
  <c r="D89" i="2"/>
  <c r="C89" i="2"/>
  <c r="B89" i="2"/>
  <c r="E89" i="2" s="1"/>
  <c r="E88" i="2"/>
  <c r="D88" i="2"/>
  <c r="C88" i="2"/>
  <c r="B88" i="2"/>
  <c r="H87" i="2"/>
  <c r="D87" i="2"/>
  <c r="C87" i="2"/>
  <c r="B87" i="2"/>
  <c r="E87" i="2" s="1"/>
  <c r="D86" i="2"/>
  <c r="C86" i="2"/>
  <c r="B86" i="2"/>
  <c r="E86" i="2" s="1"/>
  <c r="G85" i="2"/>
  <c r="D85" i="2"/>
  <c r="E85" i="2" s="1"/>
  <c r="C85" i="2"/>
  <c r="B85" i="2"/>
  <c r="D84" i="2"/>
  <c r="C84" i="2"/>
  <c r="B84" i="2"/>
  <c r="E84" i="2" s="1"/>
  <c r="D83" i="2"/>
  <c r="E83" i="2" s="1"/>
  <c r="C83" i="2"/>
  <c r="B83" i="2"/>
  <c r="D82" i="2"/>
  <c r="C82" i="2"/>
  <c r="B82" i="2"/>
  <c r="E82" i="2" s="1"/>
  <c r="G81" i="2"/>
  <c r="E81" i="2"/>
  <c r="D81" i="2"/>
  <c r="C81" i="2"/>
  <c r="B81" i="2"/>
  <c r="H80" i="2"/>
  <c r="D80" i="2"/>
  <c r="C80" i="2"/>
  <c r="B80" i="2"/>
  <c r="E80" i="2" s="1"/>
  <c r="E79" i="2"/>
  <c r="D79" i="2"/>
  <c r="C79" i="2"/>
  <c r="B79" i="2"/>
  <c r="D78" i="2"/>
  <c r="C78" i="2"/>
  <c r="B78" i="2"/>
  <c r="E78" i="2" s="1"/>
  <c r="E77" i="2"/>
  <c r="D77" i="2"/>
  <c r="C77" i="2"/>
  <c r="B77" i="2"/>
  <c r="D76" i="2"/>
  <c r="C76" i="2"/>
  <c r="B76" i="2"/>
  <c r="E76" i="2" s="1"/>
  <c r="E75" i="2"/>
  <c r="D75" i="2"/>
  <c r="C75" i="2"/>
  <c r="B75" i="2"/>
  <c r="D74" i="2"/>
  <c r="C74" i="2"/>
  <c r="B74" i="2"/>
  <c r="E74" i="2" s="1"/>
  <c r="E73" i="2"/>
  <c r="D73" i="2"/>
  <c r="C73" i="2"/>
  <c r="B73" i="2"/>
  <c r="D72" i="2"/>
  <c r="C72" i="2"/>
  <c r="B72" i="2"/>
  <c r="E72" i="2" s="1"/>
  <c r="E71" i="2"/>
  <c r="D71" i="2"/>
  <c r="C71" i="2"/>
  <c r="B71" i="2"/>
  <c r="D70" i="2"/>
  <c r="C70" i="2"/>
  <c r="B70" i="2"/>
  <c r="E70" i="2" s="1"/>
  <c r="E69" i="2"/>
  <c r="D69" i="2"/>
  <c r="C69" i="2"/>
  <c r="B69" i="2"/>
  <c r="D68" i="2"/>
  <c r="C68" i="2"/>
  <c r="B68" i="2"/>
  <c r="E68" i="2" s="1"/>
  <c r="E67" i="2"/>
  <c r="D67" i="2"/>
  <c r="C67" i="2"/>
  <c r="B67" i="2"/>
  <c r="D66" i="2"/>
  <c r="C66" i="2"/>
  <c r="B66" i="2"/>
  <c r="E66" i="2" s="1"/>
  <c r="E65" i="2"/>
  <c r="D65" i="2"/>
  <c r="C65" i="2"/>
  <c r="B65" i="2"/>
  <c r="D64" i="2"/>
  <c r="C64" i="2"/>
  <c r="B64" i="2"/>
  <c r="E64" i="2" s="1"/>
  <c r="E63" i="2"/>
  <c r="D63" i="2"/>
  <c r="C63" i="2"/>
  <c r="B63" i="2"/>
  <c r="D62" i="2"/>
  <c r="C62" i="2"/>
  <c r="B62" i="2"/>
  <c r="E62" i="2" s="1"/>
  <c r="E61" i="2"/>
  <c r="D61" i="2"/>
  <c r="C61" i="2"/>
  <c r="B61" i="2"/>
  <c r="D60" i="2"/>
  <c r="C60" i="2"/>
  <c r="B60" i="2"/>
  <c r="E60" i="2" s="1"/>
  <c r="E59" i="2"/>
  <c r="D59" i="2"/>
  <c r="C59" i="2"/>
  <c r="B59" i="2"/>
  <c r="D58" i="2"/>
  <c r="C58" i="2"/>
  <c r="B58" i="2"/>
  <c r="E58" i="2" s="1"/>
  <c r="E57" i="2"/>
  <c r="D57" i="2"/>
  <c r="C57" i="2"/>
  <c r="B57" i="2"/>
  <c r="D56" i="2"/>
  <c r="C56" i="2"/>
  <c r="B56" i="2"/>
  <c r="E56" i="2" s="1"/>
  <c r="E55" i="2"/>
  <c r="D55" i="2"/>
  <c r="C55" i="2"/>
  <c r="B55" i="2"/>
  <c r="D54" i="2"/>
  <c r="C54" i="2"/>
  <c r="B54" i="2"/>
  <c r="E54" i="2" s="1"/>
  <c r="E53" i="2"/>
  <c r="D53" i="2"/>
  <c r="C53" i="2"/>
  <c r="B53" i="2"/>
  <c r="D52" i="2"/>
  <c r="C52" i="2"/>
  <c r="B52" i="2"/>
  <c r="E52" i="2" s="1"/>
  <c r="E51" i="2"/>
  <c r="D51" i="2"/>
  <c r="C51" i="2"/>
  <c r="B51" i="2"/>
  <c r="D50" i="2"/>
  <c r="C50" i="2"/>
  <c r="B50" i="2"/>
  <c r="E50" i="2" s="1"/>
  <c r="E49" i="2"/>
  <c r="D49" i="2"/>
  <c r="C49" i="2"/>
  <c r="B49" i="2"/>
  <c r="D48" i="2"/>
  <c r="C48" i="2"/>
  <c r="B48" i="2"/>
  <c r="E48" i="2" s="1"/>
  <c r="D38" i="2"/>
  <c r="C37" i="2"/>
  <c r="D33" i="2"/>
  <c r="C32" i="2"/>
  <c r="D28" i="2"/>
  <c r="C27" i="2"/>
  <c r="E379" i="2" l="1"/>
  <c r="E411" i="2"/>
  <c r="E443" i="2"/>
  <c r="E475" i="2"/>
  <c r="E491" i="2"/>
  <c r="E507" i="2"/>
  <c r="E523" i="2"/>
  <c r="E539" i="2"/>
  <c r="E393" i="2"/>
  <c r="E409" i="2"/>
  <c r="E425" i="2"/>
  <c r="E441" i="2"/>
  <c r="E457" i="2"/>
  <c r="E473" i="2"/>
  <c r="E489" i="2"/>
  <c r="E505" i="2"/>
  <c r="E521" i="2"/>
  <c r="E537" i="2"/>
  <c r="E391" i="2"/>
  <c r="E407" i="2"/>
  <c r="E423" i="2"/>
  <c r="E439" i="2"/>
  <c r="E455" i="2"/>
  <c r="E471" i="2"/>
  <c r="E403" i="2"/>
  <c r="E435" i="2"/>
  <c r="E451" i="2"/>
  <c r="E385" i="2"/>
  <c r="E401" i="2"/>
  <c r="E417" i="2"/>
  <c r="E433" i="2"/>
  <c r="E449" i="2"/>
  <c r="E465" i="2"/>
  <c r="E481" i="2"/>
  <c r="E497" i="2"/>
  <c r="E513" i="2"/>
  <c r="E529" i="2"/>
  <c r="E545" i="2"/>
  <c r="E383" i="2"/>
  <c r="E399" i="2"/>
  <c r="E415" i="2"/>
  <c r="E431" i="2"/>
  <c r="E447" i="2"/>
  <c r="E463" i="2"/>
  <c r="E479" i="2"/>
  <c r="E495" i="2"/>
  <c r="E511" i="2"/>
  <c r="E527" i="2"/>
  <c r="E543" i="2"/>
</calcChain>
</file>

<file path=xl/sharedStrings.xml><?xml version="1.0" encoding="utf-8"?>
<sst xmlns="http://schemas.openxmlformats.org/spreadsheetml/2006/main" count="42" uniqueCount="39">
  <si>
    <t xml:space="preserve">Pr(θ = 1/12) = 0.25 is an unfair die. </t>
  </si>
  <si>
    <t xml:space="preserve">Pr(θ = 1/6) = 0.5 is a fair die. </t>
  </si>
  <si>
    <t xml:space="preserve">Pr(θ = 1/4) = 0.25 is an unfair die. </t>
  </si>
  <si>
    <t xml:space="preserve">Binomial Distribution prior to approximate Normal. </t>
  </si>
  <si>
    <t xml:space="preserve">Conditional Approximate: </t>
  </si>
  <si>
    <r>
      <t>Y | θ</t>
    </r>
    <r>
      <rPr>
        <vertAlign val="subscript"/>
        <sz val="20"/>
        <color rgb="FFFF0000"/>
        <rFont val="Arial"/>
        <family val="2"/>
      </rPr>
      <t>i</t>
    </r>
    <r>
      <rPr>
        <sz val="20"/>
        <color rgb="FFFF0000"/>
        <rFont val="Arial"/>
        <family val="2"/>
      </rPr>
      <t xml:space="preserve"> ≈ N[n*θ</t>
    </r>
    <r>
      <rPr>
        <vertAlign val="subscript"/>
        <sz val="20"/>
        <color rgb="FFFF0000"/>
        <rFont val="Arial"/>
        <family val="2"/>
      </rPr>
      <t>i</t>
    </r>
    <r>
      <rPr>
        <sz val="20"/>
        <color rgb="FFFF0000"/>
        <rFont val="Arial"/>
        <family val="2"/>
      </rPr>
      <t>, n*θ</t>
    </r>
    <r>
      <rPr>
        <vertAlign val="subscript"/>
        <sz val="20"/>
        <color rgb="FFFF0000"/>
        <rFont val="Arial"/>
        <family val="2"/>
      </rPr>
      <t>i</t>
    </r>
    <r>
      <rPr>
        <sz val="20"/>
        <color rgb="FFFF0000"/>
        <rFont val="Arial"/>
        <family val="2"/>
      </rPr>
      <t>*(1 - θ</t>
    </r>
    <r>
      <rPr>
        <vertAlign val="subscript"/>
        <sz val="20"/>
        <color rgb="FFFF0000"/>
        <rFont val="Arial"/>
        <family val="2"/>
      </rPr>
      <t>i</t>
    </r>
    <r>
      <rPr>
        <sz val="20"/>
        <color rgb="FFFF0000"/>
        <rFont val="Arial"/>
        <family val="2"/>
      </rPr>
      <t>)]</t>
    </r>
  </si>
  <si>
    <t>Where 𝞂 is sqrt(n*θi*(1 - θi))</t>
  </si>
  <si>
    <t xml:space="preserve">Pr(θ = 1/12) = 0.25 </t>
  </si>
  <si>
    <t>𝝁 = 1000 * (1/12) =</t>
  </si>
  <si>
    <t>𝞂 = sqrt(1000 * (1/12) * (1 - (1/12))) =</t>
  </si>
  <si>
    <t>Pr(θ = 1/6) = 0.5</t>
  </si>
  <si>
    <t>𝝁 = 1000 * (1/6) =</t>
  </si>
  <si>
    <t>𝞂 = sqrt(1000 * (1/6) * (1 - (1/6))) =</t>
  </si>
  <si>
    <t>Pr(θ = 1/4) = 0.25</t>
  </si>
  <si>
    <t>𝝁 = 1000 * (1/4) =</t>
  </si>
  <si>
    <t>𝞂 = sqrt(1000 * (1/4) * (1 - (1/4))) =</t>
  </si>
  <si>
    <t>Approximate Normal for all θ where N(𝝁, 𝞂)</t>
  </si>
  <si>
    <t>∑ p(y | θ) * p(θ) = 0.25 * N(83.3, 8.74) +</t>
  </si>
  <si>
    <t xml:space="preserve">          0.50 * N(166.7, 11.785) +</t>
  </si>
  <si>
    <t xml:space="preserve">          0.25 * N(250, 13.69)</t>
  </si>
  <si>
    <t>y</t>
  </si>
  <si>
    <t>Sum of Mixture</t>
  </si>
  <si>
    <t>The first hump is 1/4 of the quantile 0 - 25%,  Pr(θ) = 1/12</t>
  </si>
  <si>
    <t>* quantile = q / 0.25</t>
  </si>
  <si>
    <t>The second hump is the 1/2 of the quantile 26 - 75%, Pr(θ) = 1/6</t>
  </si>
  <si>
    <t>* quantile = (q - 0.25) / .50</t>
  </si>
  <si>
    <t>the third hump is the last 1/4 of the quantile 76 - 100%, Pr(θ) = 1/4</t>
  </si>
  <si>
    <t>* quantile = (q - 0.75) / 0.25</t>
  </si>
  <si>
    <t xml:space="preserve">* Is in the first hump. </t>
  </si>
  <si>
    <t xml:space="preserve">* 5% of 25% is </t>
  </si>
  <si>
    <t>&lt;-- 0.05 / 0.25</t>
  </si>
  <si>
    <t>&lt;-- NORM.INV(H29, 83.3, 8.74)</t>
  </si>
  <si>
    <t xml:space="preserve">* Is in the end of the first hump. 0.997 is used to align with the empirical rule of the bell curve. </t>
  </si>
  <si>
    <t>&lt;-- (0.5 - 0.25) / 0.5</t>
  </si>
  <si>
    <t>* 50% of the second hump</t>
  </si>
  <si>
    <t>* Is in the middle of the second hump</t>
  </si>
  <si>
    <t xml:space="preserve">* Is in the end of the second hump. 0.997 is used to align with the empirical rule of the bell curve. </t>
  </si>
  <si>
    <t>&lt;-- (.95 - 0.75) / 0.25</t>
  </si>
  <si>
    <t>* Is in the third hump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</si>
</sst>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20"/>
      <color theme="1"/>
      <name val="Arial"/>
      <family val="2"/>
    </font>
    <font>
      <sz val="20"/>
      <color rgb="FFFF0000"/>
      <name val="Arial"/>
      <family val="2"/>
    </font>
    <font>
      <vertAlign val="subscript"/>
      <sz val="2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  <xf numFmtId="9" fontId="1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'Normal Approximation '!$B$47</c:f>
              <c:strCache>
                <c:ptCount val="1"/>
                <c:pt idx="0">
                  <c:v>Pr(θ = 1/12) = 0.25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'Normal Approximation '!$B$48:$B$547</c:f>
              <c:numCache>
                <c:formatCode>General</c:formatCode>
                <c:ptCount val="500"/>
                <c:pt idx="0">
                  <c:v>6.3516783887246281E-22</c:v>
                </c:pt>
                <c:pt idx="1">
                  <c:v>1.8533381713694192E-21</c:v>
                </c:pt>
                <c:pt idx="2">
                  <c:v>5.3374698612749547E-21</c:v>
                </c:pt>
                <c:pt idx="3">
                  <c:v>1.5171579438532221E-20</c:v>
                </c:pt>
                <c:pt idx="4">
                  <c:v>4.256383486188291E-20</c:v>
                </c:pt>
                <c:pt idx="5">
                  <c:v>1.1785969101593514E-19</c:v>
                </c:pt>
                <c:pt idx="6">
                  <c:v>3.2211017319022577E-19</c:v>
                </c:pt>
                <c:pt idx="7">
                  <c:v>8.688767554723214E-19</c:v>
                </c:pt>
                <c:pt idx="8">
                  <c:v>2.3132709876102186E-18</c:v>
                </c:pt>
                <c:pt idx="9">
                  <c:v>6.0786821872422289E-18</c:v>
                </c:pt>
                <c:pt idx="10">
                  <c:v>1.5765471318657311E-17</c:v>
                </c:pt>
                <c:pt idx="11">
                  <c:v>4.0357018544080117E-17</c:v>
                </c:pt>
                <c:pt idx="12">
                  <c:v>1.0196374647200615E-16</c:v>
                </c:pt>
                <c:pt idx="13">
                  <c:v>2.5426529629646361E-16</c:v>
                </c:pt>
                <c:pt idx="14">
                  <c:v>6.2581070535072172E-16</c:v>
                </c:pt>
                <c:pt idx="15">
                  <c:v>1.5202446426307436E-15</c:v>
                </c:pt>
                <c:pt idx="16">
                  <c:v>3.64500870356814E-15</c:v>
                </c:pt>
                <c:pt idx="17">
                  <c:v>8.6257775152966046E-15</c:v>
                </c:pt>
                <c:pt idx="18">
                  <c:v>2.0147099404239856E-14</c:v>
                </c:pt>
                <c:pt idx="19">
                  <c:v>4.6445260249210975E-14</c:v>
                </c:pt>
                <c:pt idx="20">
                  <c:v>1.0567806843668021E-13</c:v>
                </c:pt>
                <c:pt idx="21">
                  <c:v>2.3732469271133159E-13</c:v>
                </c:pt>
                <c:pt idx="22">
                  <c:v>5.2603613988521411E-13</c:v>
                </c:pt>
                <c:pt idx="23">
                  <c:v>1.1508078923859814E-12</c:v>
                </c:pt>
                <c:pt idx="24">
                  <c:v>2.484875737616213E-12</c:v>
                </c:pt>
                <c:pt idx="25">
                  <c:v>5.2956724375741187E-12</c:v>
                </c:pt>
                <c:pt idx="26">
                  <c:v>1.1139152432347E-11</c:v>
                </c:pt>
                <c:pt idx="27">
                  <c:v>2.3125853732523113E-11</c:v>
                </c:pt>
                <c:pt idx="28">
                  <c:v>4.7386867030982636E-11</c:v>
                </c:pt>
                <c:pt idx="29">
                  <c:v>9.5836912246596916E-11</c:v>
                </c:pt>
                <c:pt idx="30">
                  <c:v>1.9130319516395673E-10</c:v>
                </c:pt>
                <c:pt idx="31">
                  <c:v>3.7690007954797206E-10</c:v>
                </c:pt>
                <c:pt idx="32">
                  <c:v>7.3290018108330178E-10</c:v>
                </c:pt>
                <c:pt idx="33">
                  <c:v>1.4066240007949101E-9</c:v>
                </c:pt>
                <c:pt idx="34">
                  <c:v>2.6645618909431068E-9</c:v>
                </c:pt>
                <c:pt idx="35">
                  <c:v>4.981821878636177E-9</c:v>
                </c:pt>
                <c:pt idx="36">
                  <c:v>9.1931675082614271E-9</c:v>
                </c:pt>
                <c:pt idx="37">
                  <c:v>1.6743904788255703E-8</c:v>
                </c:pt>
                <c:pt idx="38">
                  <c:v>3.0099751672612222E-8</c:v>
                </c:pt>
                <c:pt idx="39">
                  <c:v>5.3405215754494684E-8</c:v>
                </c:pt>
                <c:pt idx="40">
                  <c:v>9.3523129252489339E-8</c:v>
                </c:pt>
                <c:pt idx="41">
                  <c:v>1.6164749543505766E-7</c:v>
                </c:pt>
                <c:pt idx="42">
                  <c:v>2.7576143148198354E-7</c:v>
                </c:pt>
                <c:pt idx="43">
                  <c:v>4.6431494660374571E-7</c:v>
                </c:pt>
                <c:pt idx="44">
                  <c:v>7.7162519173214834E-7</c:v>
                </c:pt>
                <c:pt idx="45">
                  <c:v>1.2656532135178412E-6</c:v>
                </c:pt>
                <c:pt idx="46">
                  <c:v>2.0489796678985807E-6</c:v>
                </c:pt>
                <c:pt idx="47">
                  <c:v>3.2739735474577423E-6</c:v>
                </c:pt>
                <c:pt idx="48">
                  <c:v>5.1632990317240367E-6</c:v>
                </c:pt>
                <c:pt idx="49">
                  <c:v>8.037000291913579E-6</c:v>
                </c:pt>
                <c:pt idx="50">
                  <c:v>1.2347393383076358E-5</c:v>
                </c:pt>
                <c:pt idx="51">
                  <c:v>1.8722816464021627E-5</c:v>
                </c:pt>
                <c:pt idx="52">
                  <c:v>2.8020873513582308E-5</c:v>
                </c:pt>
                <c:pt idx="53">
                  <c:v>4.1391079570111477E-5</c:v>
                </c:pt>
                <c:pt idx="54">
                  <c:v>6.0345714336599745E-5</c:v>
                </c:pt>
                <c:pt idx="55">
                  <c:v>8.6836179107589254E-5</c:v>
                </c:pt>
                <c:pt idx="56">
                  <c:v>1.2333023908099215E-4</c:v>
                </c:pt>
                <c:pt idx="57">
                  <c:v>1.7288329672386757E-4</c:v>
                </c:pt>
                <c:pt idx="58">
                  <c:v>2.3919444649338702E-4</c:v>
                </c:pt>
                <c:pt idx="59">
                  <c:v>3.2663577042330006E-4</c:v>
                </c:pt>
                <c:pt idx="60">
                  <c:v>4.402415095158984E-4</c:v>
                </c:pt>
                <c:pt idx="61">
                  <c:v>5.8564282788708477E-4</c:v>
                </c:pt>
                <c:pt idx="62">
                  <c:v>7.6893435248707239E-4</c:v>
                </c:pt>
                <c:pt idx="63">
                  <c:v>9.9646097016772655E-4</c:v>
                </c:pt>
                <c:pt idx="64">
                  <c:v>1.274517832500369E-3</c:v>
                </c:pt>
                <c:pt idx="65">
                  <c:v>1.6089632862961595E-3</c:v>
                </c:pt>
                <c:pt idx="66">
                  <c:v>2.0047533457149161E-3</c:v>
                </c:pt>
                <c:pt idx="67">
                  <c:v>2.4654168166763999E-3</c:v>
                </c:pt>
                <c:pt idx="68">
                  <c:v>2.9925013536609194E-3</c:v>
                </c:pt>
                <c:pt idx="69">
                  <c:v>3.5850312985860017E-3</c:v>
                </c:pt>
                <c:pt idx="70">
                  <c:v>4.2390266029381464E-3</c:v>
                </c:pt>
                <c:pt idx="71">
                  <c:v>4.9471368831879407E-3</c:v>
                </c:pt>
                <c:pt idx="72">
                  <c:v>5.6984442872173337E-3</c:v>
                </c:pt>
                <c:pt idx="73">
                  <c:v>6.4784823602272602E-3</c:v>
                </c:pt>
                <c:pt idx="74">
                  <c:v>7.2695051587823231E-3</c:v>
                </c:pt>
                <c:pt idx="75">
                  <c:v>8.0510219753611063E-3</c:v>
                </c:pt>
                <c:pt idx="76">
                  <c:v>8.8005896124690106E-3</c:v>
                </c:pt>
                <c:pt idx="77">
                  <c:v>9.4948284291922567E-3</c:v>
                </c:pt>
                <c:pt idx="78">
                  <c:v>1.0110603234667769E-2</c:v>
                </c:pt>
                <c:pt idx="79">
                  <c:v>1.0626288651273765E-2</c:v>
                </c:pt>
                <c:pt idx="80">
                  <c:v>1.1023023779147555E-2</c:v>
                </c:pt>
                <c:pt idx="81">
                  <c:v>1.1285855208491633E-2</c:v>
                </c:pt>
                <c:pt idx="82">
                  <c:v>1.1404671978725679E-2</c:v>
                </c:pt>
                <c:pt idx="83">
                  <c:v>1.1374851026121003E-2</c:v>
                </c:pt>
                <c:pt idx="84">
                  <c:v>1.119755568618405E-2</c:v>
                </c:pt>
                <c:pt idx="85">
                  <c:v>1.0879660384002897E-2</c:v>
                </c:pt>
                <c:pt idx="86">
                  <c:v>1.0433308308390205E-2</c:v>
                </c:pt>
                <c:pt idx="87">
                  <c:v>9.8751417432161332E-3</c:v>
                </c:pt>
                <c:pt idx="88">
                  <c:v>9.2252730514609822E-3</c:v>
                </c:pt>
                <c:pt idx="89">
                  <c:v>8.5060849404284492E-3</c:v>
                </c:pt>
                <c:pt idx="90">
                  <c:v>7.7409595045280057E-3</c:v>
                </c:pt>
                <c:pt idx="91">
                  <c:v>6.9530358776293778E-3</c:v>
                </c:pt>
                <c:pt idx="92">
                  <c:v>6.1640867151863182E-3</c:v>
                </c:pt>
                <c:pt idx="93">
                  <c:v>5.3935859450101814E-3</c:v>
                </c:pt>
                <c:pt idx="94">
                  <c:v>4.6580169200260216E-3</c:v>
                </c:pt>
                <c:pt idx="95">
                  <c:v>3.9704443613199063E-3</c:v>
                </c:pt>
                <c:pt idx="96">
                  <c:v>3.3403483654496401E-3</c:v>
                </c:pt>
                <c:pt idx="97">
                  <c:v>2.7736969156132662E-3</c:v>
                </c:pt>
                <c:pt idx="98">
                  <c:v>2.2732167101426897E-3</c:v>
                </c:pt>
                <c:pt idx="99">
                  <c:v>1.8388117514760293E-3</c:v>
                </c:pt>
                <c:pt idx="100">
                  <c:v>1.468075178240915E-3</c:v>
                </c:pt>
                <c:pt idx="101">
                  <c:v>1.1568416481734897E-3</c:v>
                </c:pt>
                <c:pt idx="102">
                  <c:v>8.997339946814159E-4</c:v>
                </c:pt>
                <c:pt idx="103">
                  <c:v>6.9066736975654944E-4</c:v>
                </c:pt>
                <c:pt idx="104">
                  <c:v>5.2328506725707043E-4</c:v>
                </c:pt>
                <c:pt idx="105">
                  <c:v>3.9131125497160447E-4</c:v>
                </c:pt>
                <c:pt idx="106">
                  <c:v>2.8881578895795088E-4</c:v>
                </c:pt>
                <c:pt idx="107">
                  <c:v>2.1039437191684165E-4</c:v>
                </c:pt>
                <c:pt idx="108">
                  <c:v>1.5127316704347991E-4</c:v>
                </c:pt>
                <c:pt idx="109">
                  <c:v>1.0735055028545603E-4</c:v>
                </c:pt>
                <c:pt idx="110">
                  <c:v>7.5190200886651203E-5</c:v>
                </c:pt>
                <c:pt idx="111">
                  <c:v>5.1979585233859534E-5</c:v>
                </c:pt>
                <c:pt idx="112">
                  <c:v>3.5466551980459152E-5</c:v>
                </c:pt>
                <c:pt idx="113">
                  <c:v>2.3884696245508564E-5</c:v>
                </c:pt>
                <c:pt idx="114">
                  <c:v>1.5875779948697183E-5</c:v>
                </c:pt>
                <c:pt idx="115">
                  <c:v>1.0415137628089163E-5</c:v>
                </c:pt>
                <c:pt idx="116">
                  <c:v>6.7438755959347885E-6</c:v>
                </c:pt>
                <c:pt idx="117">
                  <c:v>4.3099147691916841E-6</c:v>
                </c:pt>
                <c:pt idx="118">
                  <c:v>2.7185818174867408E-6</c:v>
                </c:pt>
                <c:pt idx="119">
                  <c:v>1.692507993433176E-6</c:v>
                </c:pt>
                <c:pt idx="120">
                  <c:v>1.0400007284824406E-6</c:v>
                </c:pt>
                <c:pt idx="121">
                  <c:v>6.3074113176279094E-7</c:v>
                </c:pt>
                <c:pt idx="122">
                  <c:v>3.7755763503071511E-7</c:v>
                </c:pt>
                <c:pt idx="123">
                  <c:v>2.230642413239569E-7</c:v>
                </c:pt>
                <c:pt idx="124">
                  <c:v>1.3007422547793575E-7</c:v>
                </c:pt>
                <c:pt idx="125">
                  <c:v>7.4862984379874181E-8</c:v>
                </c:pt>
                <c:pt idx="126">
                  <c:v>4.2526301908875795E-8</c:v>
                </c:pt>
                <c:pt idx="127">
                  <c:v>2.3843098588587484E-8</c:v>
                </c:pt>
                <c:pt idx="128">
                  <c:v>1.3194178812637685E-8</c:v>
                </c:pt>
                <c:pt idx="129">
                  <c:v>7.2063712349932556E-9</c:v>
                </c:pt>
                <c:pt idx="130">
                  <c:v>3.8847716071448541E-9</c:v>
                </c:pt>
                <c:pt idx="131">
                  <c:v>2.0669451182956369E-9</c:v>
                </c:pt>
                <c:pt idx="132">
                  <c:v>1.0854429301550547E-9</c:v>
                </c:pt>
                <c:pt idx="133">
                  <c:v>5.6259988324897942E-10</c:v>
                </c:pt>
                <c:pt idx="134">
                  <c:v>2.8781066014090717E-10</c:v>
                </c:pt>
                <c:pt idx="135">
                  <c:v>1.4532111052126475E-10</c:v>
                </c:pt>
                <c:pt idx="136">
                  <c:v>7.2421102984791836E-11</c:v>
                </c:pt>
                <c:pt idx="137">
                  <c:v>3.5621824223844491E-11</c:v>
                </c:pt>
                <c:pt idx="138">
                  <c:v>1.7293455159724127E-11</c:v>
                </c:pt>
                <c:pt idx="139">
                  <c:v>8.2863253749489754E-12</c:v>
                </c:pt>
                <c:pt idx="140">
                  <c:v>3.9188332782807409E-12</c:v>
                </c:pt>
                <c:pt idx="141">
                  <c:v>1.8292210343150868E-12</c:v>
                </c:pt>
                <c:pt idx="142">
                  <c:v>8.427333493902238E-13</c:v>
                </c:pt>
                <c:pt idx="143">
                  <c:v>3.8320288394213349E-13</c:v>
                </c:pt>
                <c:pt idx="144">
                  <c:v>1.7198158680201284E-13</c:v>
                </c:pt>
                <c:pt idx="145">
                  <c:v>7.6181536731749759E-14</c:v>
                </c:pt>
                <c:pt idx="146">
                  <c:v>3.3306738000313701E-14</c:v>
                </c:pt>
                <c:pt idx="147">
                  <c:v>1.4372392436974817E-14</c:v>
                </c:pt>
                <c:pt idx="148">
                  <c:v>6.1212571998366594E-15</c:v>
                </c:pt>
                <c:pt idx="149">
                  <c:v>2.5731599494971688E-15</c:v>
                </c:pt>
                <c:pt idx="150">
                  <c:v>1.0675974624895806E-15</c:v>
                </c:pt>
                <c:pt idx="151">
                  <c:v>4.3718260860152554E-16</c:v>
                </c:pt>
                <c:pt idx="152">
                  <c:v>1.7669848090628691E-16</c:v>
                </c:pt>
                <c:pt idx="153">
                  <c:v>7.0488350716006742E-17</c:v>
                </c:pt>
                <c:pt idx="154">
                  <c:v>2.7753418004673877E-17</c:v>
                </c:pt>
                <c:pt idx="155">
                  <c:v>1.0785249567625468E-17</c:v>
                </c:pt>
                <c:pt idx="156">
                  <c:v>4.1367427621057401E-18</c:v>
                </c:pt>
                <c:pt idx="157">
                  <c:v>1.56603486595868E-18</c:v>
                </c:pt>
                <c:pt idx="158">
                  <c:v>5.8513884830624067E-19</c:v>
                </c:pt>
                <c:pt idx="159">
                  <c:v>2.1578985974456567E-19</c:v>
                </c:pt>
                <c:pt idx="160">
                  <c:v>7.8544852307402751E-20</c:v>
                </c:pt>
                <c:pt idx="161">
                  <c:v>2.8217531371703705E-20</c:v>
                </c:pt>
                <c:pt idx="162">
                  <c:v>1.0005410239967191E-20</c:v>
                </c:pt>
                <c:pt idx="163">
                  <c:v>3.5015906853457272E-21</c:v>
                </c:pt>
                <c:pt idx="164">
                  <c:v>1.2095127504016023E-21</c:v>
                </c:pt>
                <c:pt idx="165">
                  <c:v>4.1235391104801729E-22</c:v>
                </c:pt>
                <c:pt idx="166">
                  <c:v>1.387536382878568E-22</c:v>
                </c:pt>
                <c:pt idx="167">
                  <c:v>4.6082203320914356E-23</c:v>
                </c:pt>
                <c:pt idx="168">
                  <c:v>1.510555499428756E-23</c:v>
                </c:pt>
                <c:pt idx="169">
                  <c:v>4.887139450292514E-24</c:v>
                </c:pt>
                <c:pt idx="170">
                  <c:v>1.5605847942089712E-24</c:v>
                </c:pt>
                <c:pt idx="171">
                  <c:v>4.9185218500786518E-25</c:v>
                </c:pt>
                <c:pt idx="172">
                  <c:v>1.5300176246384725E-25</c:v>
                </c:pt>
                <c:pt idx="173">
                  <c:v>4.6975656327333692E-26</c:v>
                </c:pt>
                <c:pt idx="174">
                  <c:v>1.423520986371922E-26</c:v>
                </c:pt>
                <c:pt idx="175">
                  <c:v>4.2576453801986078E-27</c:v>
                </c:pt>
                <c:pt idx="176">
                  <c:v>1.2568680679750442E-27</c:v>
                </c:pt>
                <c:pt idx="177">
                  <c:v>3.6620518888458137E-28</c:v>
                </c:pt>
                <c:pt idx="178">
                  <c:v>1.0531103696766154E-28</c:v>
                </c:pt>
                <c:pt idx="179">
                  <c:v>2.9890823431904879E-29</c:v>
                </c:pt>
                <c:pt idx="180">
                  <c:v>8.3736819915919727E-30</c:v>
                </c:pt>
                <c:pt idx="181">
                  <c:v>2.3153126391851742E-30</c:v>
                </c:pt>
                <c:pt idx="182">
                  <c:v>6.3185498474942803E-31</c:v>
                </c:pt>
                <c:pt idx="183">
                  <c:v>1.7019225161308546E-31</c:v>
                </c:pt>
                <c:pt idx="184">
                  <c:v>4.5245641114705344E-32</c:v>
                </c:pt>
                <c:pt idx="185">
                  <c:v>1.187212070067274E-32</c:v>
                </c:pt>
                <c:pt idx="186">
                  <c:v>3.0746412872309925E-33</c:v>
                </c:pt>
                <c:pt idx="187">
                  <c:v>7.8591431743390285E-34</c:v>
                </c:pt>
                <c:pt idx="188">
                  <c:v>1.9827617901748202E-34</c:v>
                </c:pt>
                <c:pt idx="189">
                  <c:v>4.9371972213879779E-35</c:v>
                </c:pt>
                <c:pt idx="190">
                  <c:v>1.2134028349428587E-35</c:v>
                </c:pt>
                <c:pt idx="191">
                  <c:v>2.94336505306744E-36</c:v>
                </c:pt>
                <c:pt idx="192">
                  <c:v>7.0468957628675693E-37</c:v>
                </c:pt>
                <c:pt idx="193">
                  <c:v>1.665199072586361E-37</c:v>
                </c:pt>
                <c:pt idx="194">
                  <c:v>3.8837303388107293E-38</c:v>
                </c:pt>
                <c:pt idx="195">
                  <c:v>8.9401863116927363E-39</c:v>
                </c:pt>
                <c:pt idx="196">
                  <c:v>2.0312279591324839E-39</c:v>
                </c:pt>
                <c:pt idx="197">
                  <c:v>4.5549682763693801E-40</c:v>
                </c:pt>
                <c:pt idx="198">
                  <c:v>1.0081534529304413E-40</c:v>
                </c:pt>
                <c:pt idx="199">
                  <c:v>2.20233064373795E-41</c:v>
                </c:pt>
                <c:pt idx="200">
                  <c:v>4.7484623183049361E-42</c:v>
                </c:pt>
                <c:pt idx="201">
                  <c:v>1.0105040646329027E-42</c:v>
                </c:pt>
                <c:pt idx="202">
                  <c:v>2.1224512703876471E-43</c:v>
                </c:pt>
                <c:pt idx="203">
                  <c:v>4.3999930020056662E-44</c:v>
                </c:pt>
                <c:pt idx="204">
                  <c:v>9.0028670761126388E-45</c:v>
                </c:pt>
                <c:pt idx="205">
                  <c:v>1.818127286349891E-45</c:v>
                </c:pt>
                <c:pt idx="206">
                  <c:v>3.6239510756702084E-46</c:v>
                </c:pt>
                <c:pt idx="207">
                  <c:v>7.1294325016708771E-47</c:v>
                </c:pt>
                <c:pt idx="208">
                  <c:v>1.3843381639768302E-47</c:v>
                </c:pt>
                <c:pt idx="209">
                  <c:v>2.6530413356701276E-48</c:v>
                </c:pt>
                <c:pt idx="210">
                  <c:v>5.0183440866326138E-49</c:v>
                </c:pt>
                <c:pt idx="211">
                  <c:v>9.3689613944371671E-50</c:v>
                </c:pt>
                <c:pt idx="212">
                  <c:v>1.7263826294604612E-50</c:v>
                </c:pt>
                <c:pt idx="213">
                  <c:v>3.1397658407869456E-51</c:v>
                </c:pt>
                <c:pt idx="214">
                  <c:v>5.6360139238328966E-52</c:v>
                </c:pt>
                <c:pt idx="215">
                  <c:v>9.9853076237870629E-53</c:v>
                </c:pt>
                <c:pt idx="216">
                  <c:v>1.7460852156687308E-53</c:v>
                </c:pt>
                <c:pt idx="217">
                  <c:v>3.0135889568103692E-54</c:v>
                </c:pt>
                <c:pt idx="218">
                  <c:v>5.1335428427975216E-55</c:v>
                </c:pt>
                <c:pt idx="219">
                  <c:v>8.6310763911765265E-56</c:v>
                </c:pt>
                <c:pt idx="220">
                  <c:v>1.4322780111500781E-56</c:v>
                </c:pt>
                <c:pt idx="221">
                  <c:v>2.3458718460232833E-57</c:v>
                </c:pt>
                <c:pt idx="222">
                  <c:v>3.7922401867230695E-58</c:v>
                </c:pt>
                <c:pt idx="223">
                  <c:v>6.0506493291157239E-59</c:v>
                </c:pt>
                <c:pt idx="224">
                  <c:v>9.5284602328184638E-60</c:v>
                </c:pt>
                <c:pt idx="225">
                  <c:v>1.481010243363152E-60</c:v>
                </c:pt>
                <c:pt idx="226">
                  <c:v>2.2719982542905875E-61</c:v>
                </c:pt>
                <c:pt idx="227">
                  <c:v>3.4401114986127431E-62</c:v>
                </c:pt>
                <c:pt idx="228">
                  <c:v>5.1410477649804436E-63</c:v>
                </c:pt>
                <c:pt idx="229">
                  <c:v>7.5830750349183185E-64</c:v>
                </c:pt>
                <c:pt idx="230">
                  <c:v>1.1039608250290963E-64</c:v>
                </c:pt>
                <c:pt idx="231">
                  <c:v>1.586268009519811E-65</c:v>
                </c:pt>
                <c:pt idx="232">
                  <c:v>2.2496453788129442E-66</c:v>
                </c:pt>
                <c:pt idx="233">
                  <c:v>3.1489528382913694E-67</c:v>
                </c:pt>
                <c:pt idx="234">
                  <c:v>4.3504365927352141E-68</c:v>
                </c:pt>
                <c:pt idx="235">
                  <c:v>5.9321773272719771E-69</c:v>
                </c:pt>
                <c:pt idx="236">
                  <c:v>7.9838064632977869E-70</c:v>
                </c:pt>
                <c:pt idx="237">
                  <c:v>1.0605239263556284E-70</c:v>
                </c:pt>
                <c:pt idx="238">
                  <c:v>1.3904184947562291E-71</c:v>
                </c:pt>
                <c:pt idx="239">
                  <c:v>1.7992238334206158E-72</c:v>
                </c:pt>
                <c:pt idx="240">
                  <c:v>2.2979440441756578E-73</c:v>
                </c:pt>
                <c:pt idx="241">
                  <c:v>2.8967318709012092E-74</c:v>
                </c:pt>
                <c:pt idx="242">
                  <c:v>3.6040577431720282E-75</c:v>
                </c:pt>
                <c:pt idx="243">
                  <c:v>4.4257795513872675E-76</c:v>
                </c:pt>
                <c:pt idx="244">
                  <c:v>5.364168477940186E-77</c:v>
                </c:pt>
                <c:pt idx="245">
                  <c:v>6.4169644908914824E-78</c:v>
                </c:pt>
                <c:pt idx="246">
                  <c:v>7.5765493595487386E-79</c:v>
                </c:pt>
                <c:pt idx="247">
                  <c:v>8.8293325041298121E-80</c:v>
                </c:pt>
                <c:pt idx="248">
                  <c:v>1.0155443213711934E-80</c:v>
                </c:pt>
                <c:pt idx="249">
                  <c:v>1.1528810119212279E-81</c:v>
                </c:pt>
                <c:pt idx="250">
                  <c:v>1.2917684856447465E-82</c:v>
                </c:pt>
                <c:pt idx="251">
                  <c:v>1.4285632658221031E-83</c:v>
                </c:pt>
                <c:pt idx="252">
                  <c:v>1.5592970822197836E-84</c:v>
                </c:pt>
                <c:pt idx="253">
                  <c:v>1.6798590697097269E-85</c:v>
                </c:pt>
                <c:pt idx="254">
                  <c:v>1.7862055122231947E-86</c:v>
                </c:pt>
                <c:pt idx="255">
                  <c:v>1.8745826645550566E-87</c:v>
                </c:pt>
                <c:pt idx="256">
                  <c:v>1.9417457454907135E-88</c:v>
                </c:pt>
                <c:pt idx="257">
                  <c:v>1.9851563738078286E-89</c:v>
                </c:pt>
                <c:pt idx="258">
                  <c:v>2.003141724561175E-90</c:v>
                </c:pt>
                <c:pt idx="259">
                  <c:v>1.9950014993723894E-91</c:v>
                </c:pt>
                <c:pt idx="260">
                  <c:v>1.9610531757815923E-92</c:v>
                </c:pt>
                <c:pt idx="261">
                  <c:v>1.9026114600675416E-93</c:v>
                </c:pt>
                <c:pt idx="262">
                  <c:v>1.8219037972304076E-94</c:v>
                </c:pt>
                <c:pt idx="263">
                  <c:v>1.7219295070336115E-95</c:v>
                </c:pt>
                <c:pt idx="264">
                  <c:v>1.6062749621767829E-96</c:v>
                </c:pt>
                <c:pt idx="265">
                  <c:v>1.4789006710372276E-97</c:v>
                </c:pt>
                <c:pt idx="266">
                  <c:v>1.3439178324917089E-98</c:v>
                </c:pt>
                <c:pt idx="267">
                  <c:v>1.2053717860316697E-99</c:v>
                </c:pt>
                <c:pt idx="268">
                  <c:v>1.0670479146844352E-100</c:v>
                </c:pt>
                <c:pt idx="269">
                  <c:v>9.3231230347120203E-102</c:v>
                </c:pt>
                <c:pt idx="270">
                  <c:v>8.0399528922021321E-103</c:v>
                </c:pt>
                <c:pt idx="271">
                  <c:v>6.8432150372391604E-104</c:v>
                </c:pt>
                <c:pt idx="272">
                  <c:v>5.7488564559522605E-105</c:v>
                </c:pt>
                <c:pt idx="273">
                  <c:v>4.7666947002358357E-106</c:v>
                </c:pt>
                <c:pt idx="274">
                  <c:v>3.9009268225856024E-107</c:v>
                </c:pt>
                <c:pt idx="275">
                  <c:v>3.1508872621981877E-108</c:v>
                </c:pt>
                <c:pt idx="276">
                  <c:v>2.5119588465705007E-109</c:v>
                </c:pt>
                <c:pt idx="277">
                  <c:v>1.9765452901003547E-110</c:v>
                </c:pt>
                <c:pt idx="278">
                  <c:v>1.5350255715020357E-111</c:v>
                </c:pt>
                <c:pt idx="279">
                  <c:v>1.1766276604395633E-112</c:v>
                </c:pt>
                <c:pt idx="280">
                  <c:v>8.9017847209628195E-114</c:v>
                </c:pt>
                <c:pt idx="281">
                  <c:v>6.6470617786525156E-115</c:v>
                </c:pt>
                <c:pt idx="282">
                  <c:v>4.8988815375076418E-116</c:v>
                </c:pt>
                <c:pt idx="283">
                  <c:v>3.5635163410184554E-117</c:v>
                </c:pt>
                <c:pt idx="284">
                  <c:v>2.5584395857831008E-118</c:v>
                </c:pt>
                <c:pt idx="285">
                  <c:v>1.8129514418539781E-119</c:v>
                </c:pt>
                <c:pt idx="286">
                  <c:v>1.267978158087468E-120</c:v>
                </c:pt>
                <c:pt idx="287">
                  <c:v>8.7529000144896263E-122</c:v>
                </c:pt>
                <c:pt idx="288">
                  <c:v>5.9635759813413111E-123</c:v>
                </c:pt>
                <c:pt idx="289">
                  <c:v>4.0102933384690116E-124</c:v>
                </c:pt>
                <c:pt idx="290">
                  <c:v>2.6617062187110139E-125</c:v>
                </c:pt>
                <c:pt idx="291">
                  <c:v>1.7436475029328627E-126</c:v>
                </c:pt>
                <c:pt idx="292">
                  <c:v>1.1273839808342748E-127</c:v>
                </c:pt>
                <c:pt idx="293">
                  <c:v>7.1944835091862114E-129</c:v>
                </c:pt>
                <c:pt idx="294">
                  <c:v>4.5314999322758663E-130</c:v>
                </c:pt>
                <c:pt idx="295">
                  <c:v>2.8170783677479736E-131</c:v>
                </c:pt>
                <c:pt idx="296">
                  <c:v>1.7285043389677502E-132</c:v>
                </c:pt>
                <c:pt idx="297">
                  <c:v>1.0467828865525214E-133</c:v>
                </c:pt>
                <c:pt idx="298">
                  <c:v>6.2568731203873141E-135</c:v>
                </c:pt>
                <c:pt idx="299">
                  <c:v>3.6912433458954116E-136</c:v>
                </c:pt>
                <c:pt idx="300">
                  <c:v>2.1493275248004709E-137</c:v>
                </c:pt>
                <c:pt idx="301">
                  <c:v>1.2352279731942143E-138</c:v>
                </c:pt>
                <c:pt idx="302">
                  <c:v>7.0065823463988166E-140</c:v>
                </c:pt>
                <c:pt idx="303">
                  <c:v>3.9226534100791066E-141</c:v>
                </c:pt>
                <c:pt idx="304">
                  <c:v>2.1675455791460265E-142</c:v>
                </c:pt>
                <c:pt idx="305">
                  <c:v>1.1821460471142557E-143</c:v>
                </c:pt>
                <c:pt idx="306">
                  <c:v>6.3633912233648462E-145</c:v>
                </c:pt>
                <c:pt idx="307">
                  <c:v>3.380809572463295E-146</c:v>
                </c:pt>
                <c:pt idx="308">
                  <c:v>1.7728312096728969E-147</c:v>
                </c:pt>
                <c:pt idx="309">
                  <c:v>9.175477241636438E-149</c:v>
                </c:pt>
                <c:pt idx="310">
                  <c:v>4.6871033588238495E-150</c:v>
                </c:pt>
                <c:pt idx="311">
                  <c:v>2.3631701555013294E-151</c:v>
                </c:pt>
                <c:pt idx="312">
                  <c:v>1.1759803108056818E-152</c:v>
                </c:pt>
                <c:pt idx="313">
                  <c:v>5.7759004873815309E-154</c:v>
                </c:pt>
                <c:pt idx="314">
                  <c:v>2.7999736762963204E-155</c:v>
                </c:pt>
                <c:pt idx="315">
                  <c:v>1.3396852909123E-156</c:v>
                </c:pt>
                <c:pt idx="316">
                  <c:v>6.3265395044426418E-158</c:v>
                </c:pt>
                <c:pt idx="317">
                  <c:v>2.948792775638255E-159</c:v>
                </c:pt>
                <c:pt idx="318">
                  <c:v>1.3565533494755757E-160</c:v>
                </c:pt>
                <c:pt idx="319">
                  <c:v>6.1594806704610556E-162</c:v>
                </c:pt>
                <c:pt idx="320">
                  <c:v>2.7603611715231781E-163</c:v>
                </c:pt>
                <c:pt idx="321">
                  <c:v>1.2209624773905827E-164</c:v>
                </c:pt>
                <c:pt idx="322">
                  <c:v>5.3303204579954453E-166</c:v>
                </c:pt>
                <c:pt idx="323">
                  <c:v>2.2967774529816616E-167</c:v>
                </c:pt>
                <c:pt idx="324">
                  <c:v>9.7678528220031056E-169</c:v>
                </c:pt>
                <c:pt idx="325">
                  <c:v>4.1000947476646715E-170</c:v>
                </c:pt>
                <c:pt idx="326">
                  <c:v>1.6986475335899638E-171</c:v>
                </c:pt>
                <c:pt idx="327">
                  <c:v>6.9458795433366565E-173</c:v>
                </c:pt>
                <c:pt idx="328">
                  <c:v>2.8032757264210544E-174</c:v>
                </c:pt>
                <c:pt idx="329">
                  <c:v>1.1166549103552737E-175</c:v>
                </c:pt>
                <c:pt idx="330">
                  <c:v>4.3902245911552596E-177</c:v>
                </c:pt>
                <c:pt idx="331">
                  <c:v>1.7036057239037517E-178</c:v>
                </c:pt>
                <c:pt idx="332">
                  <c:v>6.5247824745672754E-180</c:v>
                </c:pt>
                <c:pt idx="333">
                  <c:v>2.466479891289229E-181</c:v>
                </c:pt>
                <c:pt idx="334">
                  <c:v>9.2024552684322338E-183</c:v>
                </c:pt>
                <c:pt idx="335">
                  <c:v>3.3887883513108767E-184</c:v>
                </c:pt>
                <c:pt idx="336">
                  <c:v>1.2316853350102713E-185</c:v>
                </c:pt>
                <c:pt idx="337">
                  <c:v>4.4184474078891557E-187</c:v>
                </c:pt>
                <c:pt idx="338">
                  <c:v>1.5644230421148626E-188</c:v>
                </c:pt>
                <c:pt idx="339">
                  <c:v>5.4670533558659356E-190</c:v>
                </c:pt>
                <c:pt idx="340">
                  <c:v>1.8856757470867378E-191</c:v>
                </c:pt>
                <c:pt idx="341">
                  <c:v>6.4194129318591266E-193</c:v>
                </c:pt>
                <c:pt idx="342">
                  <c:v>2.156940696726908E-194</c:v>
                </c:pt>
                <c:pt idx="343">
                  <c:v>7.1531229701283077E-196</c:v>
                </c:pt>
                <c:pt idx="344">
                  <c:v>2.3413577219864837E-197</c:v>
                </c:pt>
                <c:pt idx="345">
                  <c:v>7.5640509829851079E-199</c:v>
                </c:pt>
                <c:pt idx="346">
                  <c:v>2.4118801168524444E-200</c:v>
                </c:pt>
                <c:pt idx="347">
                  <c:v>7.5905209217650426E-202</c:v>
                </c:pt>
                <c:pt idx="348">
                  <c:v>2.3577732738191251E-203</c:v>
                </c:pt>
                <c:pt idx="349">
                  <c:v>7.2284818329345241E-205</c:v>
                </c:pt>
                <c:pt idx="350">
                  <c:v>2.1872918850393022E-206</c:v>
                </c:pt>
                <c:pt idx="351">
                  <c:v>6.5325235497792199E-208</c:v>
                </c:pt>
                <c:pt idx="352">
                  <c:v>1.9256165986227844E-209</c:v>
                </c:pt>
                <c:pt idx="353">
                  <c:v>5.6023888909278765E-211</c:v>
                </c:pt>
                <c:pt idx="354">
                  <c:v>1.608760068502758E-212</c:v>
                </c:pt>
                <c:pt idx="355">
                  <c:v>4.5595701127765149E-214</c:v>
                </c:pt>
                <c:pt idx="356">
                  <c:v>1.2754725401488745E-215</c:v>
                </c:pt>
                <c:pt idx="357">
                  <c:v>3.5215424047262162E-217</c:v>
                </c:pt>
                <c:pt idx="358">
                  <c:v>9.5964217435785071E-219</c:v>
                </c:pt>
                <c:pt idx="359">
                  <c:v>2.5810732172787923E-220</c:v>
                </c:pt>
                <c:pt idx="360">
                  <c:v>6.8518195540617753E-222</c:v>
                </c:pt>
                <c:pt idx="361">
                  <c:v>1.7952548320247856E-223</c:v>
                </c:pt>
                <c:pt idx="362">
                  <c:v>4.6425959269961394E-225</c:v>
                </c:pt>
                <c:pt idx="363">
                  <c:v>1.1849779313805703E-226</c:v>
                </c:pt>
                <c:pt idx="364">
                  <c:v>2.9852054991535861E-228</c:v>
                </c:pt>
                <c:pt idx="365">
                  <c:v>7.4225442982740259E-230</c:v>
                </c:pt>
                <c:pt idx="366">
                  <c:v>1.8215703889338247E-231</c:v>
                </c:pt>
                <c:pt idx="367">
                  <c:v>4.4121849818419782E-233</c:v>
                </c:pt>
                <c:pt idx="368">
                  <c:v>1.0548144259791912E-234</c:v>
                </c:pt>
                <c:pt idx="369">
                  <c:v>2.48893184206056E-236</c:v>
                </c:pt>
                <c:pt idx="370">
                  <c:v>5.7964826666408562E-238</c:v>
                </c:pt>
                <c:pt idx="371">
                  <c:v>1.3323878804997688E-239</c:v>
                </c:pt>
                <c:pt idx="372">
                  <c:v>3.0228138282950827E-241</c:v>
                </c:pt>
                <c:pt idx="373">
                  <c:v>6.7687226853854039E-243</c:v>
                </c:pt>
                <c:pt idx="374">
                  <c:v>1.4959484807103428E-244</c:v>
                </c:pt>
                <c:pt idx="375">
                  <c:v>3.2631808760816583E-246</c:v>
                </c:pt>
                <c:pt idx="376">
                  <c:v>7.0255487506651913E-248</c:v>
                </c:pt>
                <c:pt idx="377">
                  <c:v>1.4929111127650546E-249</c:v>
                </c:pt>
                <c:pt idx="378">
                  <c:v>3.1311382558635926E-251</c:v>
                </c:pt>
                <c:pt idx="379">
                  <c:v>6.4816433795143493E-253</c:v>
                </c:pt>
                <c:pt idx="380">
                  <c:v>1.3242885222606222E-254</c:v>
                </c:pt>
                <c:pt idx="381">
                  <c:v>2.6705129728951303E-256</c:v>
                </c:pt>
                <c:pt idx="382">
                  <c:v>5.3152214520648895E-258</c:v>
                </c:pt>
                <c:pt idx="383">
                  <c:v>1.0441493671611859E-259</c:v>
                </c:pt>
                <c:pt idx="384">
                  <c:v>2.0245033051140521E-261</c:v>
                </c:pt>
                <c:pt idx="385">
                  <c:v>3.8742616274726347E-263</c:v>
                </c:pt>
                <c:pt idx="386">
                  <c:v>7.3176897832493863E-265</c:v>
                </c:pt>
                <c:pt idx="387">
                  <c:v>1.3641861581483824E-266</c:v>
                </c:pt>
                <c:pt idx="388">
                  <c:v>2.5100818134703527E-268</c:v>
                </c:pt>
                <c:pt idx="389">
                  <c:v>4.5584449041813087E-270</c:v>
                </c:pt>
                <c:pt idx="390">
                  <c:v>8.1707164153158115E-272</c:v>
                </c:pt>
                <c:pt idx="391">
                  <c:v>1.4455002111895589E-273</c:v>
                </c:pt>
                <c:pt idx="392">
                  <c:v>2.5240082836092902E-275</c:v>
                </c:pt>
                <c:pt idx="393">
                  <c:v>4.3498871170998136E-277</c:v>
                </c:pt>
                <c:pt idx="394">
                  <c:v>7.3991152537559524E-279</c:v>
                </c:pt>
                <c:pt idx="395">
                  <c:v>1.2422133496660402E-280</c:v>
                </c:pt>
                <c:pt idx="396">
                  <c:v>2.0583877402716769E-282</c:v>
                </c:pt>
                <c:pt idx="397">
                  <c:v>3.3664547046508086E-284</c:v>
                </c:pt>
                <c:pt idx="398">
                  <c:v>5.4341667251200058E-286</c:v>
                </c:pt>
                <c:pt idx="399">
                  <c:v>8.6578037389681139E-288</c:v>
                </c:pt>
                <c:pt idx="400">
                  <c:v>1.3614356198749088E-289</c:v>
                </c:pt>
                <c:pt idx="401">
                  <c:v>2.1130076817739484E-291</c:v>
                </c:pt>
                <c:pt idx="402">
                  <c:v>3.2368281116443095E-293</c:v>
                </c:pt>
                <c:pt idx="403">
                  <c:v>4.8938741069229012E-295</c:v>
                </c:pt>
                <c:pt idx="404">
                  <c:v>7.3029872667606094E-297</c:v>
                </c:pt>
                <c:pt idx="405">
                  <c:v>1.075629954844902E-298</c:v>
                </c:pt>
                <c:pt idx="406">
                  <c:v>1.563651002204827E-300</c:v>
                </c:pt>
                <c:pt idx="407">
                  <c:v>2.243527314428495E-302</c:v>
                </c:pt>
                <c:pt idx="408">
                  <c:v>3.1771483199339871E-304</c:v>
                </c:pt>
                <c:pt idx="409">
                  <c:v>4.4407693044649355E-306</c:v>
                </c:pt>
                <c:pt idx="410">
                  <c:v>6.1262332721040623E-308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A-F84D-9386-FAD2DC171862}"/>
            </c:ext>
          </c:extLst>
        </c:ser>
        <c:ser>
          <c:idx val="1"/>
          <c:order val="1"/>
          <c:tx>
            <c:strRef>
              <c:f>'Normal Approximation '!$C$47</c:f>
              <c:strCache>
                <c:ptCount val="1"/>
                <c:pt idx="0">
                  <c:v>Pr(θ = 1/6)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'Normal Approximation '!$C$48:$C$547</c:f>
              <c:numCache>
                <c:formatCode>General</c:formatCode>
                <c:ptCount val="500"/>
                <c:pt idx="0">
                  <c:v>1.9980187858218562E-45</c:v>
                </c:pt>
                <c:pt idx="1">
                  <c:v>6.5641229000010694E-45</c:v>
                </c:pt>
                <c:pt idx="2">
                  <c:v>2.1410502489790791E-44</c:v>
                </c:pt>
                <c:pt idx="3">
                  <c:v>6.9334603452355302E-44</c:v>
                </c:pt>
                <c:pt idx="4">
                  <c:v>2.2291856145489984E-43</c:v>
                </c:pt>
                <c:pt idx="5">
                  <c:v>7.11566424089232E-43</c:v>
                </c:pt>
                <c:pt idx="6">
                  <c:v>2.2550578244875431E-42</c:v>
                </c:pt>
                <c:pt idx="7">
                  <c:v>7.0953355312429115E-42</c:v>
                </c:pt>
                <c:pt idx="8">
                  <c:v>2.2164667078176883E-41</c:v>
                </c:pt>
                <c:pt idx="9">
                  <c:v>6.8742054367607882E-41</c:v>
                </c:pt>
                <c:pt idx="10">
                  <c:v>2.1166878711526021E-40</c:v>
                </c:pt>
                <c:pt idx="11">
                  <c:v>6.4708920574300092E-40</c:v>
                </c:pt>
                <c:pt idx="12">
                  <c:v>1.9640136829396384E-39</c:v>
                </c:pt>
                <c:pt idx="13">
                  <c:v>5.9183123574217732E-39</c:v>
                </c:pt>
                <c:pt idx="14">
                  <c:v>1.7706155581889107E-38</c:v>
                </c:pt>
                <c:pt idx="15">
                  <c:v>5.2592484674469722E-38</c:v>
                </c:pt>
                <c:pt idx="16">
                  <c:v>1.5509440174468518E-37</c:v>
                </c:pt>
                <c:pt idx="17">
                  <c:v>4.5408961996302239E-37</c:v>
                </c:pt>
                <c:pt idx="18">
                  <c:v>1.3199578002736734E-36</c:v>
                </c:pt>
                <c:pt idx="19">
                  <c:v>3.8093558047265653E-36</c:v>
                </c:pt>
                <c:pt idx="20">
                  <c:v>1.0914806748789398E-35</c:v>
                </c:pt>
                <c:pt idx="21">
                  <c:v>3.1049426458560481E-35</c:v>
                </c:pt>
                <c:pt idx="22">
                  <c:v>8.7692839684836359E-35</c:v>
                </c:pt>
                <c:pt idx="23">
                  <c:v>2.4589387150930022E-34</c:v>
                </c:pt>
                <c:pt idx="24">
                  <c:v>6.8454861431110057E-34</c:v>
                </c:pt>
                <c:pt idx="25">
                  <c:v>1.8920556516557817E-33</c:v>
                </c:pt>
                <c:pt idx="26">
                  <c:v>5.1920221513012159E-33</c:v>
                </c:pt>
                <c:pt idx="27">
                  <c:v>1.4145300788141934E-32</c:v>
                </c:pt>
                <c:pt idx="28">
                  <c:v>3.8261399973363653E-32</c:v>
                </c:pt>
                <c:pt idx="29">
                  <c:v>1.0275016934708628E-31</c:v>
                </c:pt>
                <c:pt idx="30">
                  <c:v>2.739537538456824E-31</c:v>
                </c:pt>
                <c:pt idx="31">
                  <c:v>7.2517860881144045E-31</c:v>
                </c:pt>
                <c:pt idx="32">
                  <c:v>1.905836910785804E-30</c:v>
                </c:pt>
                <c:pt idx="33">
                  <c:v>4.9727829350727377E-30</c:v>
                </c:pt>
                <c:pt idx="34">
                  <c:v>1.2882088868178227E-29</c:v>
                </c:pt>
                <c:pt idx="35">
                  <c:v>3.313188147179627E-29</c:v>
                </c:pt>
                <c:pt idx="36">
                  <c:v>8.4601668252948246E-29</c:v>
                </c:pt>
                <c:pt idx="37">
                  <c:v>2.1447899926813685E-28</c:v>
                </c:pt>
                <c:pt idx="38">
                  <c:v>5.3983823632094769E-28</c:v>
                </c:pt>
                <c:pt idx="39">
                  <c:v>1.3490111188441643E-27</c:v>
                </c:pt>
                <c:pt idx="40">
                  <c:v>3.3468822723435868E-27</c:v>
                </c:pt>
                <c:pt idx="41">
                  <c:v>8.2440072089688175E-27</c:v>
                </c:pt>
                <c:pt idx="42">
                  <c:v>2.0160871860776693E-26</c:v>
                </c:pt>
                <c:pt idx="43">
                  <c:v>4.8950065304600012E-26</c:v>
                </c:pt>
                <c:pt idx="44">
                  <c:v>1.1799680864738277E-25</c:v>
                </c:pt>
                <c:pt idx="45">
                  <c:v>2.8239712254953849E-25</c:v>
                </c:pt>
                <c:pt idx="46">
                  <c:v>6.7100119356304689E-25</c:v>
                </c:pt>
                <c:pt idx="47">
                  <c:v>1.5829213541295568E-24</c:v>
                </c:pt>
                <c:pt idx="48">
                  <c:v>3.7073910988280236E-24</c:v>
                </c:pt>
                <c:pt idx="49">
                  <c:v>8.6208579212585566E-24</c:v>
                </c:pt>
                <c:pt idx="50">
                  <c:v>1.990240649098371E-23</c:v>
                </c:pt>
                <c:pt idx="51">
                  <c:v>4.5617734828092348E-23</c:v>
                </c:pt>
                <c:pt idx="52">
                  <c:v>1.0380896483666459E-22</c:v>
                </c:pt>
                <c:pt idx="53">
                  <c:v>2.3453573543979305E-22</c:v>
                </c:pt>
                <c:pt idx="54">
                  <c:v>5.2608534944640151E-22</c:v>
                </c:pt>
                <c:pt idx="55">
                  <c:v>1.1715920360712205E-21</c:v>
                </c:pt>
                <c:pt idx="56">
                  <c:v>2.5904167158977928E-21</c:v>
                </c:pt>
                <c:pt idx="57">
                  <c:v>5.6863799744259796E-21</c:v>
                </c:pt>
                <c:pt idx="58">
                  <c:v>1.2392962604202373E-20</c:v>
                </c:pt>
                <c:pt idx="59">
                  <c:v>2.6815593994355783E-20</c:v>
                </c:pt>
                <c:pt idx="60">
                  <c:v>5.7606663676369386E-20</c:v>
                </c:pt>
                <c:pt idx="61">
                  <c:v>1.2286580921347893E-19</c:v>
                </c:pt>
                <c:pt idx="62">
                  <c:v>2.6017309713108111E-19</c:v>
                </c:pt>
                <c:pt idx="63">
                  <c:v>5.4697408214141522E-19</c:v>
                </c:pt>
                <c:pt idx="64">
                  <c:v>1.1416793062739171E-18</c:v>
                </c:pt>
                <c:pt idx="65">
                  <c:v>2.3658898988606357E-18</c:v>
                </c:pt>
                <c:pt idx="66">
                  <c:v>4.8676343885519742E-18</c:v>
                </c:pt>
                <c:pt idx="67">
                  <c:v>9.9429302066441283E-18</c:v>
                </c:pt>
                <c:pt idx="68">
                  <c:v>2.0164332541267024E-17</c:v>
                </c:pt>
                <c:pt idx="69">
                  <c:v>4.0600027790535251E-17</c:v>
                </c:pt>
                <c:pt idx="70">
                  <c:v>8.1159961143506678E-17</c:v>
                </c:pt>
                <c:pt idx="71">
                  <c:v>1.6107581957746602E-16</c:v>
                </c:pt>
                <c:pt idx="72">
                  <c:v>3.1738901306705501E-16</c:v>
                </c:pt>
                <c:pt idx="73">
                  <c:v>6.2090684515020991E-16</c:v>
                </c:pt>
                <c:pt idx="74">
                  <c:v>1.2059631190094027E-15</c:v>
                </c:pt>
                <c:pt idx="75">
                  <c:v>2.3254907945254604E-15</c:v>
                </c:pt>
                <c:pt idx="76">
                  <c:v>4.4521341597753893E-15</c:v>
                </c:pt>
                <c:pt idx="77">
                  <c:v>8.4624259351765917E-15</c:v>
                </c:pt>
                <c:pt idx="78">
                  <c:v>1.5969618387883787E-14</c:v>
                </c:pt>
                <c:pt idx="79">
                  <c:v>2.9920387630349038E-14</c:v>
                </c:pt>
                <c:pt idx="80">
                  <c:v>5.5656118217049863E-14</c:v>
                </c:pt>
                <c:pt idx="81">
                  <c:v>1.0278544718899834E-13</c:v>
                </c:pt>
                <c:pt idx="82">
                  <c:v>1.8846181371349572E-13</c:v>
                </c:pt>
                <c:pt idx="83">
                  <c:v>3.4307425012417196E-13</c:v>
                </c:pt>
                <c:pt idx="84">
                  <c:v>6.2004883936947312E-13</c:v>
                </c:pt>
                <c:pt idx="85">
                  <c:v>1.1125939520144555E-12</c:v>
                </c:pt>
                <c:pt idx="86">
                  <c:v>1.9820769473818827E-12</c:v>
                </c:pt>
                <c:pt idx="87">
                  <c:v>3.5057209656438315E-12</c:v>
                </c:pt>
                <c:pt idx="88">
                  <c:v>6.1561217607509803E-12</c:v>
                </c:pt>
                <c:pt idx="89">
                  <c:v>1.0732726834637185E-11</c:v>
                </c:pt>
                <c:pt idx="90">
                  <c:v>1.8577444421099536E-11</c:v>
                </c:pt>
                <c:pt idx="91">
                  <c:v>3.1925292511369972E-11</c:v>
                </c:pt>
                <c:pt idx="92">
                  <c:v>5.4469930270578765E-11</c:v>
                </c:pt>
                <c:pt idx="93">
                  <c:v>9.2268141560831429E-11</c:v>
                </c:pt>
                <c:pt idx="94">
                  <c:v>1.5517428285961601E-10</c:v>
                </c:pt>
                <c:pt idx="95">
                  <c:v>2.5909601917942692E-10</c:v>
                </c:pt>
                <c:pt idx="96">
                  <c:v>4.2951145771787428E-10</c:v>
                </c:pt>
                <c:pt idx="97">
                  <c:v>7.069061933146134E-10</c:v>
                </c:pt>
                <c:pt idx="98">
                  <c:v>1.1551059989157659E-9</c:v>
                </c:pt>
                <c:pt idx="99">
                  <c:v>1.8739366788511768E-9</c:v>
                </c:pt>
                <c:pt idx="100">
                  <c:v>3.0182902723112354E-9</c:v>
                </c:pt>
                <c:pt idx="101">
                  <c:v>4.8265867465032501E-9</c:v>
                </c:pt>
                <c:pt idx="102">
                  <c:v>7.6628839374828523E-9</c:v>
                </c:pt>
                <c:pt idx="103">
                  <c:v>1.2078622250306902E-8</c:v>
                </c:pt>
                <c:pt idx="104">
                  <c:v>1.8902339994057636E-8</c:v>
                </c:pt>
                <c:pt idx="105">
                  <c:v>2.9368837853210452E-8</c:v>
                </c:pt>
                <c:pt idx="106">
                  <c:v>4.5303418299274481E-8</c:v>
                </c:pt>
                <c:pt idx="107">
                  <c:v>6.9382221769502129E-8</c:v>
                </c:pt>
                <c:pt idx="108">
                  <c:v>1.054965975377023E-7</c:v>
                </c:pt>
                <c:pt idx="109">
                  <c:v>1.5925817074727747E-7</c:v>
                </c:pt>
                <c:pt idx="110">
                  <c:v>2.3869208212066695E-7</c:v>
                </c:pt>
                <c:pt idx="111">
                  <c:v>3.5517903454191249E-7</c:v>
                </c:pt>
                <c:pt idx="112">
                  <c:v>5.2472245724959633E-7</c:v>
                </c:pt>
                <c:pt idx="113">
                  <c:v>7.6963533887633635E-7</c:v>
                </c:pt>
                <c:pt idx="114">
                  <c:v>1.1207619276560501E-6</c:v>
                </c:pt>
                <c:pt idx="115">
                  <c:v>1.6203721048392115E-6</c:v>
                </c:pt>
                <c:pt idx="116">
                  <c:v>2.3258899727295898E-6</c:v>
                </c:pt>
                <c:pt idx="117">
                  <c:v>3.3146417360889374E-6</c:v>
                </c:pt>
                <c:pt idx="118">
                  <c:v>4.6898293720686069E-6</c:v>
                </c:pt>
                <c:pt idx="119">
                  <c:v>6.5879532682875903E-6</c:v>
                </c:pt>
                <c:pt idx="120">
                  <c:v>9.1879156009013748E-6</c:v>
                </c:pt>
                <c:pt idx="121">
                  <c:v>1.2722032603861644E-5</c:v>
                </c:pt>
                <c:pt idx="122">
                  <c:v>1.748916322805176E-5</c:v>
                </c:pt>
                <c:pt idx="123">
                  <c:v>2.3870118646564392E-5</c:v>
                </c:pt>
                <c:pt idx="124">
                  <c:v>3.2345446012677985E-5</c:v>
                </c:pt>
                <c:pt idx="125">
                  <c:v>4.3515575361517008E-5</c:v>
                </c:pt>
                <c:pt idx="126">
                  <c:v>5.8123175830974793E-5</c:v>
                </c:pt>
                <c:pt idx="127">
                  <c:v>7.7077383161678798E-5</c:v>
                </c:pt>
                <c:pt idx="128">
                  <c:v>1.0147933368108313E-4</c:v>
                </c:pt>
                <c:pt idx="129">
                  <c:v>1.32648172809682E-4</c:v>
                </c:pt>
                <c:pt idx="130">
                  <c:v>1.7214640474566862E-4</c:v>
                </c:pt>
                <c:pt idx="131">
                  <c:v>2.2180312547110165E-4</c:v>
                </c:pt>
                <c:pt idx="132">
                  <c:v>2.8373335014881949E-4</c:v>
                </c:pt>
                <c:pt idx="133">
                  <c:v>3.6035133066296079E-4</c:v>
                </c:pt>
                <c:pt idx="134">
                  <c:v>4.5437548733935786E-4</c:v>
                </c:pt>
                <c:pt idx="135">
                  <c:v>5.688223833033131E-4</c:v>
                </c:pt>
                <c:pt idx="136">
                  <c:v>7.0698708619483866E-4</c:v>
                </c:pt>
                <c:pt idx="137">
                  <c:v>8.7240732666066581E-4</c:v>
                </c:pt>
                <c:pt idx="138">
                  <c:v>1.0688091106750288E-3</c:v>
                </c:pt>
                <c:pt idx="139">
                  <c:v>1.3000319021172493E-3</c:v>
                </c:pt>
                <c:pt idx="140">
                  <c:v>1.5699321823018748E-3</c:v>
                </c:pt>
                <c:pt idx="141">
                  <c:v>1.882265119759055E-3</c:v>
                </c:pt>
                <c:pt idx="142">
                  <c:v>2.2405452345168717E-3</c:v>
                </c:pt>
                <c:pt idx="143">
                  <c:v>2.6478882841060158E-3</c:v>
                </c:pt>
                <c:pt idx="144">
                  <c:v>3.106838079130576E-3</c:v>
                </c:pt>
                <c:pt idx="145">
                  <c:v>3.6191834781898031E-3</c:v>
                </c:pt>
                <c:pt idx="146">
                  <c:v>4.1857723189917496E-3</c:v>
                </c:pt>
                <c:pt idx="147">
                  <c:v>4.8063304029838713E-3</c:v>
                </c:pt>
                <c:pt idx="148">
                  <c:v>5.4792947442143611E-3</c:v>
                </c:pt>
                <c:pt idx="149">
                  <c:v>6.2016709987362424E-3</c:v>
                </c:pt>
                <c:pt idx="150">
                  <c:v>6.9689251979784582E-3</c:v>
                </c:pt>
                <c:pt idx="151">
                  <c:v>7.7749195283549353E-3</c:v>
                </c:pt>
                <c:pt idx="152">
                  <c:v>8.6119008717967481E-3</c:v>
                </c:pt>
                <c:pt idx="153">
                  <c:v>9.4705491307066104E-3</c:v>
                </c:pt>
                <c:pt idx="154">
                  <c:v>1.0340090036842926E-2</c:v>
                </c:pt>
                <c:pt idx="155">
                  <c:v>1.1208474269129638E-2</c:v>
                </c:pt>
                <c:pt idx="156">
                  <c:v>1.2062621413453817E-2</c:v>
                </c:pt>
                <c:pt idx="157">
                  <c:v>1.2888723766729558E-2</c:v>
                </c:pt>
                <c:pt idx="158">
                  <c:v>1.3672601431953041E-2</c:v>
                </c:pt>
                <c:pt idx="159">
                  <c:v>1.4400096806100908E-2</c:v>
                </c:pt>
                <c:pt idx="160">
                  <c:v>1.5057493668038557E-2</c:v>
                </c:pt>
                <c:pt idx="161">
                  <c:v>1.5631943853543169E-2</c:v>
                </c:pt>
                <c:pt idx="162">
                  <c:v>1.6111883149238823E-2</c:v>
                </c:pt>
                <c:pt idx="163">
                  <c:v>1.6487417684983661E-2</c:v>
                </c:pt>
                <c:pt idx="164">
                  <c:v>1.675066282746147E-2</c:v>
                </c:pt>
                <c:pt idx="165">
                  <c:v>1.6896018373926843E-2</c:v>
                </c:pt>
                <c:pt idx="166">
                  <c:v>1.6920366633924662E-2</c:v>
                </c:pt>
                <c:pt idx="167">
                  <c:v>1.6823183613937115E-2</c:v>
                </c:pt>
                <c:pt idx="168">
                  <c:v>1.6606557767023071E-2</c:v>
                </c:pt>
                <c:pt idx="169">
                  <c:v>1.6275115370427907E-2</c:v>
                </c:pt>
                <c:pt idx="170">
                  <c:v>1.58358562551193E-2</c:v>
                </c:pt>
                <c:pt idx="171">
                  <c:v>1.529790803381346E-2</c:v>
                </c:pt>
                <c:pt idx="172">
                  <c:v>1.467221087846869E-2</c:v>
                </c:pt>
                <c:pt idx="173">
                  <c:v>1.3971148044801327E-2</c:v>
                </c:pt>
                <c:pt idx="174">
                  <c:v>1.320813954858849E-2</c:v>
                </c:pt>
                <c:pt idx="175">
                  <c:v>1.2397217555589368E-2</c:v>
                </c:pt>
                <c:pt idx="176">
                  <c:v>1.1552602120211277E-2</c:v>
                </c:pt>
                <c:pt idx="177">
                  <c:v>1.0688294940785811E-2</c:v>
                </c:pt>
                <c:pt idx="178">
                  <c:v>9.8177069048844701E-3</c:v>
                </c:pt>
                <c:pt idx="179">
                  <c:v>8.9533325478346436E-3</c:v>
                </c:pt>
                <c:pt idx="180">
                  <c:v>8.1064813544642414E-3</c:v>
                </c:pt>
                <c:pt idx="181">
                  <c:v>7.2870723339260451E-3</c:v>
                </c:pt>
                <c:pt idx="182">
                  <c:v>6.5034947295187408E-3</c:v>
                </c:pt>
                <c:pt idx="183">
                  <c:v>5.7625343142589554E-3</c:v>
                </c:pt>
                <c:pt idx="184">
                  <c:v>5.0693616627895633E-3</c:v>
                </c:pt>
                <c:pt idx="185">
                  <c:v>4.4275762332261605E-3</c:v>
                </c:pt>
                <c:pt idx="186">
                  <c:v>3.8392981416929478E-3</c:v>
                </c:pt>
                <c:pt idx="187">
                  <c:v>3.3052982187711535E-3</c:v>
                </c:pt>
                <c:pt idx="188">
                  <c:v>2.8251563022301282E-3</c:v>
                </c:pt>
                <c:pt idx="189">
                  <c:v>2.3974377014512834E-3</c:v>
                </c:pt>
                <c:pt idx="190">
                  <c:v>2.0198782875181054E-3</c:v>
                </c:pt>
                <c:pt idx="191">
                  <c:v>1.6895696153813205E-3</c:v>
                </c:pt>
                <c:pt idx="192">
                  <c:v>1.4031367528399799E-3</c:v>
                </c:pt>
                <c:pt idx="193">
                  <c:v>1.1569029535761328E-3</c:v>
                </c:pt>
                <c:pt idx="194">
                  <c:v>9.4703685200236856E-4</c:v>
                </c:pt>
                <c:pt idx="195">
                  <c:v>7.6967937317599965E-4</c:v>
                </c:pt>
                <c:pt idx="196">
                  <c:v>6.2104895684005242E-4</c:v>
                </c:pt>
                <c:pt idx="197">
                  <c:v>4.9752492750394295E-4</c:v>
                </c:pt>
                <c:pt idx="198">
                  <c:v>3.9570986134301411E-4</c:v>
                </c:pt>
                <c:pt idx="199">
                  <c:v>3.1247258574310116E-4</c:v>
                </c:pt>
                <c:pt idx="200">
                  <c:v>2.4497399742962853E-4</c:v>
                </c:pt>
                <c:pt idx="201">
                  <c:v>1.9067821444314925E-4</c:v>
                </c:pt>
                <c:pt idx="202">
                  <c:v>1.4735171118896806E-4</c:v>
                </c:pt>
                <c:pt idx="203">
                  <c:v>1.130530570776047E-4</c:v>
                </c:pt>
                <c:pt idx="204">
                  <c:v>8.6115724037333206E-5</c:v>
                </c:pt>
                <c:pt idx="205">
                  <c:v>6.5126182794516597E-5</c:v>
                </c:pt>
                <c:pt idx="206">
                  <c:v>4.8899206311202437E-5</c:v>
                </c:pt>
                <c:pt idx="207">
                  <c:v>3.6451971000098015E-5</c:v>
                </c:pt>
                <c:pt idx="208">
                  <c:v>2.6978216890461735E-5</c:v>
                </c:pt>
                <c:pt idx="209">
                  <c:v>1.9823415657298067E-5</c:v>
                </c:pt>
                <c:pt idx="210">
                  <c:v>1.4461613572571927E-5</c:v>
                </c:pt>
                <c:pt idx="211">
                  <c:v>1.047437305413907E-5</c:v>
                </c:pt>
                <c:pt idx="212">
                  <c:v>7.5320352247645878E-6</c:v>
                </c:pt>
                <c:pt idx="213">
                  <c:v>5.3773668670565934E-6</c:v>
                </c:pt>
                <c:pt idx="214">
                  <c:v>3.8115358697647647E-6</c:v>
                </c:pt>
                <c:pt idx="215">
                  <c:v>2.6822754535586974E-6</c:v>
                </c:pt>
                <c:pt idx="216">
                  <c:v>1.8740438951977895E-6</c:v>
                </c:pt>
                <c:pt idx="217">
                  <c:v>1.2999575256997996E-6</c:v>
                </c:pt>
                <c:pt idx="218">
                  <c:v>8.9526495795184879E-7</c:v>
                </c:pt>
                <c:pt idx="219">
                  <c:v>6.1213474219143205E-7</c:v>
                </c:pt>
                <c:pt idx="220">
                  <c:v>4.1554254158947467E-7</c:v>
                </c:pt>
                <c:pt idx="221">
                  <c:v>2.8006379814842346E-7</c:v>
                </c:pt>
                <c:pt idx="222">
                  <c:v>1.8740081557340048E-7</c:v>
                </c:pt>
                <c:pt idx="223">
                  <c:v>1.2449703219599921E-7</c:v>
                </c:pt>
                <c:pt idx="224">
                  <c:v>8.2114440958554918E-8</c:v>
                </c:pt>
                <c:pt idx="225">
                  <c:v>5.3771617679376739E-8</c:v>
                </c:pt>
                <c:pt idx="226">
                  <c:v>3.4959054919814994E-8</c:v>
                </c:pt>
                <c:pt idx="227">
                  <c:v>2.2565205061701734E-8</c:v>
                </c:pt>
                <c:pt idx="228">
                  <c:v>1.4460786205946361E-8</c:v>
                </c:pt>
                <c:pt idx="229">
                  <c:v>9.2006295747013495E-9</c:v>
                </c:pt>
                <c:pt idx="230">
                  <c:v>5.8118742142477565E-9</c:v>
                </c:pt>
                <c:pt idx="231">
                  <c:v>3.6449190410734035E-9</c:v>
                </c:pt>
                <c:pt idx="232">
                  <c:v>2.2695125377845449E-9</c:v>
                </c:pt>
                <c:pt idx="233">
                  <c:v>1.4029762070881424E-9</c:v>
                </c:pt>
                <c:pt idx="234">
                  <c:v>8.6107512883844704E-10</c:v>
                </c:pt>
                <c:pt idx="235">
                  <c:v>5.2469243723511301E-10</c:v>
                </c:pt>
                <c:pt idx="236">
                  <c:v>3.174253326122206E-10</c:v>
                </c:pt>
                <c:pt idx="237">
                  <c:v>1.9065639719886856E-10</c:v>
                </c:pt>
                <c:pt idx="238">
                  <c:v>1.1369312410679162E-10</c:v>
                </c:pt>
                <c:pt idx="239">
                  <c:v>6.7311619318280691E-11</c:v>
                </c:pt>
                <c:pt idx="240">
                  <c:v>3.9565703891746046E-11</c:v>
                </c:pt>
                <c:pt idx="241">
                  <c:v>2.3089832056092198E-11</c:v>
                </c:pt>
                <c:pt idx="242">
                  <c:v>1.3378137999041945E-11</c:v>
                </c:pt>
                <c:pt idx="243">
                  <c:v>7.6956195397515856E-12</c:v>
                </c:pt>
                <c:pt idx="244">
                  <c:v>4.3950571390035672E-12</c:v>
                </c:pt>
                <c:pt idx="245">
                  <c:v>2.4920599304918146E-12</c:v>
                </c:pt>
                <c:pt idx="246">
                  <c:v>1.4028959411009249E-12</c:v>
                </c:pt>
                <c:pt idx="247">
                  <c:v>7.8408916921707116E-13</c:v>
                </c:pt>
                <c:pt idx="248">
                  <c:v>4.3508936799719214E-13</c:v>
                </c:pt>
                <c:pt idx="249">
                  <c:v>2.3969805308091796E-13</c:v>
                </c:pt>
                <c:pt idx="250">
                  <c:v>1.3110630024777709E-13</c:v>
                </c:pt>
                <c:pt idx="251">
                  <c:v>7.1196007019564983E-14</c:v>
                </c:pt>
                <c:pt idx="252">
                  <c:v>3.8384928163135273E-14</c:v>
                </c:pt>
                <c:pt idx="253">
                  <c:v>2.0546547045325586E-14</c:v>
                </c:pt>
                <c:pt idx="254">
                  <c:v>1.0919178895515807E-14</c:v>
                </c:pt>
                <c:pt idx="255">
                  <c:v>5.7612157008385159E-15</c:v>
                </c:pt>
                <c:pt idx="256">
                  <c:v>3.0179449220236848E-15</c:v>
                </c:pt>
                <c:pt idx="257">
                  <c:v>1.569572942159974E-15</c:v>
                </c:pt>
                <c:pt idx="258">
                  <c:v>8.1044718252680835E-16</c:v>
                </c:pt>
                <c:pt idx="259">
                  <c:v>4.1547122457644046E-16</c:v>
                </c:pt>
                <c:pt idx="260">
                  <c:v>2.1146096172423205E-16</c:v>
                </c:pt>
                <c:pt idx="261">
                  <c:v>1.0685441618002722E-16</c:v>
                </c:pt>
                <c:pt idx="262">
                  <c:v>5.3607773294410669E-17</c:v>
                </c:pt>
                <c:pt idx="263">
                  <c:v>2.6701525904701497E-17</c:v>
                </c:pt>
                <c:pt idx="264">
                  <c:v>1.3204361711675976E-17</c:v>
                </c:pt>
                <c:pt idx="265">
                  <c:v>6.4829364498924677E-18</c:v>
                </c:pt>
                <c:pt idx="266">
                  <c:v>3.160087702983986E-18</c:v>
                </c:pt>
                <c:pt idx="267">
                  <c:v>1.5293240814754017E-18</c:v>
                </c:pt>
                <c:pt idx="268">
                  <c:v>7.3480641349279952E-19</c:v>
                </c:pt>
                <c:pt idx="269">
                  <c:v>3.5052529947822648E-19</c:v>
                </c:pt>
                <c:pt idx="270">
                  <c:v>1.6601174690447102E-19</c:v>
                </c:pt>
                <c:pt idx="271">
                  <c:v>7.8060493016555072E-20</c:v>
                </c:pt>
                <c:pt idx="272">
                  <c:v>3.644154488360536E-20</c:v>
                </c:pt>
                <c:pt idx="273">
                  <c:v>1.6890219351969227E-20</c:v>
                </c:pt>
                <c:pt idx="274">
                  <c:v>7.772251034034769E-21</c:v>
                </c:pt>
                <c:pt idx="275">
                  <c:v>3.5508421675881884E-21</c:v>
                </c:pt>
                <c:pt idx="276">
                  <c:v>1.6106046096215122E-21</c:v>
                </c:pt>
                <c:pt idx="277">
                  <c:v>7.2530308812367153E-22</c:v>
                </c:pt>
                <c:pt idx="278">
                  <c:v>3.2428221825497724E-22</c:v>
                </c:pt>
                <c:pt idx="279">
                  <c:v>1.4394605381810848E-22</c:v>
                </c:pt>
                <c:pt idx="280">
                  <c:v>6.3437989629044637E-23</c:v>
                </c:pt>
                <c:pt idx="281">
                  <c:v>2.775697149738867E-23</c:v>
                </c:pt>
                <c:pt idx="282">
                  <c:v>1.2057791421086017E-23</c:v>
                </c:pt>
                <c:pt idx="283">
                  <c:v>5.2003967046128755E-24</c:v>
                </c:pt>
                <c:pt idx="284">
                  <c:v>2.2267845609322761E-24</c:v>
                </c:pt>
                <c:pt idx="285">
                  <c:v>9.4665764912345637E-25</c:v>
                </c:pt>
                <c:pt idx="286">
                  <c:v>3.9955881370248843E-25</c:v>
                </c:pt>
                <c:pt idx="287">
                  <c:v>1.6743317062926486E-25</c:v>
                </c:pt>
                <c:pt idx="288">
                  <c:v>6.9658690751196563E-26</c:v>
                </c:pt>
                <c:pt idx="289">
                  <c:v>2.8772800430867287E-26</c:v>
                </c:pt>
                <c:pt idx="290">
                  <c:v>1.1799455835714973E-26</c:v>
                </c:pt>
                <c:pt idx="291">
                  <c:v>4.8041310350271025E-27</c:v>
                </c:pt>
                <c:pt idx="292">
                  <c:v>1.9419620098031419E-27</c:v>
                </c:pt>
                <c:pt idx="293">
                  <c:v>7.7936273188351417E-28</c:v>
                </c:pt>
                <c:pt idx="294">
                  <c:v>3.1053571730490226E-28</c:v>
                </c:pt>
                <c:pt idx="295">
                  <c:v>1.2284472250961341E-28</c:v>
                </c:pt>
                <c:pt idx="296">
                  <c:v>4.8247461452867479E-29</c:v>
                </c:pt>
                <c:pt idx="297">
                  <c:v>1.8813320397390786E-29</c:v>
                </c:pt>
                <c:pt idx="298">
                  <c:v>7.2833210714621562E-30</c:v>
                </c:pt>
                <c:pt idx="299">
                  <c:v>2.7994098015984201E-30</c:v>
                </c:pt>
                <c:pt idx="300">
                  <c:v>1.0682589056936328E-30</c:v>
                </c:pt>
                <c:pt idx="301">
                  <c:v>4.0472458369074065E-31</c:v>
                </c:pt>
                <c:pt idx="302">
                  <c:v>1.5223540527128827E-31</c:v>
                </c:pt>
                <c:pt idx="303">
                  <c:v>5.6851872079510604E-32</c:v>
                </c:pt>
                <c:pt idx="304">
                  <c:v>2.1078848982180631E-32</c:v>
                </c:pt>
                <c:pt idx="305">
                  <c:v>7.7592909044443171E-33</c:v>
                </c:pt>
                <c:pt idx="306">
                  <c:v>2.8357647263106064E-33</c:v>
                </c:pt>
                <c:pt idx="307">
                  <c:v>1.0289431435521088E-33</c:v>
                </c:pt>
                <c:pt idx="308">
                  <c:v>3.7066841313984745E-34</c:v>
                </c:pt>
                <c:pt idx="309">
                  <c:v>1.3257230270014436E-34</c:v>
                </c:pt>
                <c:pt idx="310">
                  <c:v>4.7075293947743357E-35</c:v>
                </c:pt>
                <c:pt idx="311">
                  <c:v>1.6596109859441858E-35</c:v>
                </c:pt>
                <c:pt idx="312">
                  <c:v>5.8088823590025009E-36</c:v>
                </c:pt>
                <c:pt idx="313">
                  <c:v>2.0186074942586614E-36</c:v>
                </c:pt>
                <c:pt idx="314">
                  <c:v>6.9644079249436206E-37</c:v>
                </c:pt>
                <c:pt idx="315">
                  <c:v>2.3855555860863707E-37</c:v>
                </c:pt>
                <c:pt idx="316">
                  <c:v>8.1127463896062252E-38</c:v>
                </c:pt>
                <c:pt idx="317">
                  <c:v>2.7391718437096481E-38</c:v>
                </c:pt>
                <c:pt idx="318">
                  <c:v>9.1821350836859242E-39</c:v>
                </c:pt>
                <c:pt idx="319">
                  <c:v>3.0559137753644022E-39</c:v>
                </c:pt>
                <c:pt idx="320">
                  <c:v>1.0097445887692932E-39</c:v>
                </c:pt>
                <c:pt idx="321">
                  <c:v>3.3124931778379782E-40</c:v>
                </c:pt>
                <c:pt idx="322">
                  <c:v>1.0788758463372473E-40</c:v>
                </c:pt>
                <c:pt idx="323">
                  <c:v>3.4886786532719579E-41</c:v>
                </c:pt>
                <c:pt idx="324">
                  <c:v>1.1200140873055646E-41</c:v>
                </c:pt>
                <c:pt idx="325">
                  <c:v>3.5699244250293769E-42</c:v>
                </c:pt>
                <c:pt idx="326">
                  <c:v>1.1297115763133706E-42</c:v>
                </c:pt>
                <c:pt idx="327">
                  <c:v>3.5493526852404557E-43</c:v>
                </c:pt>
                <c:pt idx="328">
                  <c:v>1.1071430852185834E-43</c:v>
                </c:pt>
                <c:pt idx="329">
                  <c:v>3.4287148471888537E-44</c:v>
                </c:pt>
                <c:pt idx="330">
                  <c:v>1.0542218272790532E-44</c:v>
                </c:pt>
                <c:pt idx="331">
                  <c:v>3.2181453798310874E-45</c:v>
                </c:pt>
                <c:pt idx="332">
                  <c:v>9.7533168886433859E-46</c:v>
                </c:pt>
                <c:pt idx="333">
                  <c:v>2.9347562076863201E-46</c:v>
                </c:pt>
                <c:pt idx="334">
                  <c:v>8.7672773347878707E-47</c:v>
                </c:pt>
                <c:pt idx="335">
                  <c:v>2.6003420524221841E-47</c:v>
                </c:pt>
                <c:pt idx="336">
                  <c:v>7.6571866547493988E-48</c:v>
                </c:pt>
                <c:pt idx="337">
                  <c:v>2.2386232392948327E-48</c:v>
                </c:pt>
                <c:pt idx="338">
                  <c:v>6.497791950313666E-49</c:v>
                </c:pt>
                <c:pt idx="339">
                  <c:v>1.8725077135605609E-49</c:v>
                </c:pt>
                <c:pt idx="340">
                  <c:v>5.3574046313246374E-50</c:v>
                </c:pt>
                <c:pt idx="341">
                  <c:v>1.5218025305075509E-50</c:v>
                </c:pt>
                <c:pt idx="342">
                  <c:v>4.2917575006124908E-51</c:v>
                </c:pt>
                <c:pt idx="343">
                  <c:v>1.2016695806386362E-51</c:v>
                </c:pt>
                <c:pt idx="344">
                  <c:v>3.3404731080101132E-52</c:v>
                </c:pt>
                <c:pt idx="345">
                  <c:v>9.2194266209522631E-53</c:v>
                </c:pt>
                <c:pt idx="346">
                  <c:v>2.5262298586555272E-53</c:v>
                </c:pt>
                <c:pt idx="347">
                  <c:v>6.8725013784989196E-54</c:v>
                </c:pt>
                <c:pt idx="348">
                  <c:v>1.8562216213767142E-54</c:v>
                </c:pt>
                <c:pt idx="349">
                  <c:v>4.9775752947621598E-55</c:v>
                </c:pt>
                <c:pt idx="350">
                  <c:v>1.3251921944499896E-55</c:v>
                </c:pt>
                <c:pt idx="351">
                  <c:v>3.5027804720566489E-56</c:v>
                </c:pt>
                <c:pt idx="352">
                  <c:v>9.1922111189179172E-57</c:v>
                </c:pt>
                <c:pt idx="353">
                  <c:v>2.3949700154406145E-57</c:v>
                </c:pt>
                <c:pt idx="354">
                  <c:v>6.1951694611047132E-58</c:v>
                </c:pt>
                <c:pt idx="355">
                  <c:v>1.5910334858473904E-58</c:v>
                </c:pt>
                <c:pt idx="356">
                  <c:v>4.0567520998206915E-59</c:v>
                </c:pt>
                <c:pt idx="357">
                  <c:v>1.0269531676909736E-59</c:v>
                </c:pt>
                <c:pt idx="358">
                  <c:v>2.5810464939422981E-60</c:v>
                </c:pt>
                <c:pt idx="359">
                  <c:v>6.4404177245584348E-61</c:v>
                </c:pt>
                <c:pt idx="360">
                  <c:v>1.5955310675917326E-61</c:v>
                </c:pt>
                <c:pt idx="361">
                  <c:v>3.9243660800919307E-62</c:v>
                </c:pt>
                <c:pt idx="362">
                  <c:v>9.5831167968848669E-63</c:v>
                </c:pt>
                <c:pt idx="363">
                  <c:v>2.3233630008490303E-63</c:v>
                </c:pt>
                <c:pt idx="364">
                  <c:v>5.5924276788023214E-64</c:v>
                </c:pt>
                <c:pt idx="365">
                  <c:v>1.3364622736385544E-64</c:v>
                </c:pt>
                <c:pt idx="366">
                  <c:v>3.1709255895403136E-65</c:v>
                </c:pt>
                <c:pt idx="367">
                  <c:v>7.4694464411682397E-66</c:v>
                </c:pt>
                <c:pt idx="368">
                  <c:v>1.7468829421310173E-66</c:v>
                </c:pt>
                <c:pt idx="369">
                  <c:v>4.0561332179770394E-67</c:v>
                </c:pt>
                <c:pt idx="370">
                  <c:v>9.3504742029518272E-68</c:v>
                </c:pt>
                <c:pt idx="371">
                  <c:v>2.1400705083210027E-68</c:v>
                </c:pt>
                <c:pt idx="372">
                  <c:v>4.8629023382029487E-69</c:v>
                </c:pt>
                <c:pt idx="373">
                  <c:v>1.0970742787424864E-69</c:v>
                </c:pt>
                <c:pt idx="374">
                  <c:v>2.4572510994387146E-70</c:v>
                </c:pt>
                <c:pt idx="375">
                  <c:v>5.4643192250492381E-71</c:v>
                </c:pt>
                <c:pt idx="376">
                  <c:v>1.2064118861376528E-71</c:v>
                </c:pt>
                <c:pt idx="377">
                  <c:v>2.6444062305105676E-72</c:v>
                </c:pt>
                <c:pt idx="378">
                  <c:v>5.7548466549803174E-73</c:v>
                </c:pt>
                <c:pt idx="379">
                  <c:v>1.2434042848188538E-73</c:v>
                </c:pt>
                <c:pt idx="380">
                  <c:v>2.6672515931778594E-74</c:v>
                </c:pt>
                <c:pt idx="381">
                  <c:v>5.6805269754905049E-75</c:v>
                </c:pt>
                <c:pt idx="382">
                  <c:v>1.2011196988476303E-75</c:v>
                </c:pt>
                <c:pt idx="383">
                  <c:v>2.5214883879860001E-76</c:v>
                </c:pt>
                <c:pt idx="384">
                  <c:v>5.2553382652659157E-77</c:v>
                </c:pt>
                <c:pt idx="385">
                  <c:v>1.0874702817134238E-77</c:v>
                </c:pt>
                <c:pt idx="386">
                  <c:v>2.2341233083878574E-78</c:v>
                </c:pt>
                <c:pt idx="387">
                  <c:v>4.5569042305881222E-79</c:v>
                </c:pt>
                <c:pt idx="388">
                  <c:v>9.2279595682796218E-80</c:v>
                </c:pt>
                <c:pt idx="389">
                  <c:v>1.8553014516888637E-80</c:v>
                </c:pt>
                <c:pt idx="390">
                  <c:v>3.7033631898696794E-81</c:v>
                </c:pt>
                <c:pt idx="391">
                  <c:v>7.3392409570997216E-82</c:v>
                </c:pt>
                <c:pt idx="392">
                  <c:v>1.4440392806471826E-82</c:v>
                </c:pt>
                <c:pt idx="393">
                  <c:v>2.8208493145703096E-83</c:v>
                </c:pt>
                <c:pt idx="394">
                  <c:v>5.4708371527775502E-84</c:v>
                </c:pt>
                <c:pt idx="395">
                  <c:v>1.0534179333072484E-84</c:v>
                </c:pt>
                <c:pt idx="396">
                  <c:v>2.0138199881951536E-85</c:v>
                </c:pt>
                <c:pt idx="397">
                  <c:v>3.8222017460355177E-86</c:v>
                </c:pt>
                <c:pt idx="398">
                  <c:v>7.2024389492588919E-87</c:v>
                </c:pt>
                <c:pt idx="399">
                  <c:v>1.3474683859291359E-87</c:v>
                </c:pt>
                <c:pt idx="400">
                  <c:v>2.5028256854587959E-88</c:v>
                </c:pt>
                <c:pt idx="401">
                  <c:v>4.6154669105006001E-89</c:v>
                </c:pt>
                <c:pt idx="402">
                  <c:v>8.45033059728404E-90</c:v>
                </c:pt>
                <c:pt idx="403">
                  <c:v>1.5360479670448367E-90</c:v>
                </c:pt>
                <c:pt idx="404">
                  <c:v>2.7720998896844676E-91</c:v>
                </c:pt>
                <c:pt idx="405">
                  <c:v>4.9669065955967347E-92</c:v>
                </c:pt>
                <c:pt idx="406">
                  <c:v>8.8356017027292417E-93</c:v>
                </c:pt>
                <c:pt idx="407">
                  <c:v>1.5604838816936896E-93</c:v>
                </c:pt>
                <c:pt idx="408">
                  <c:v>2.7362480425535825E-94</c:v>
                </c:pt>
                <c:pt idx="409">
                  <c:v>4.7634834466589072E-95</c:v>
                </c:pt>
                <c:pt idx="410">
                  <c:v>8.2331660888526616E-96</c:v>
                </c:pt>
                <c:pt idx="411">
                  <c:v>1.4128046399930895E-96</c:v>
                </c:pt>
                <c:pt idx="412">
                  <c:v>2.406968287167239E-97</c:v>
                </c:pt>
                <c:pt idx="413">
                  <c:v>4.0712862998376116E-98</c:v>
                </c:pt>
                <c:pt idx="414">
                  <c:v>6.8370056536985244E-99</c:v>
                </c:pt>
                <c:pt idx="415">
                  <c:v>1.1399170617561059E-99</c:v>
                </c:pt>
                <c:pt idx="416">
                  <c:v>1.8869204391140264E-100</c:v>
                </c:pt>
                <c:pt idx="417">
                  <c:v>3.1010369660025795E-101</c:v>
                </c:pt>
                <c:pt idx="418">
                  <c:v>5.0597996136669208E-102</c:v>
                </c:pt>
                <c:pt idx="419">
                  <c:v>8.1965805576009112E-103</c:v>
                </c:pt>
                <c:pt idx="420">
                  <c:v>1.3182722960978679E-103</c:v>
                </c:pt>
                <c:pt idx="421">
                  <c:v>2.1049925294012692E-104</c:v>
                </c:pt>
                <c:pt idx="422">
                  <c:v>3.3370983953666704E-105</c:v>
                </c:pt>
                <c:pt idx="423">
                  <c:v>5.2524325637629533E-106</c:v>
                </c:pt>
                <c:pt idx="424">
                  <c:v>8.207766219008354E-107</c:v>
                </c:pt>
                <c:pt idx="425">
                  <c:v>1.2733930948825676E-107</c:v>
                </c:pt>
                <c:pt idx="426">
                  <c:v>1.9614309452360968E-108</c:v>
                </c:pt>
                <c:pt idx="427">
                  <c:v>2.9995532407681659E-109</c:v>
                </c:pt>
                <c:pt idx="428">
                  <c:v>4.5542109869745324E-110</c:v>
                </c:pt>
                <c:pt idx="429">
                  <c:v>6.8650347236114123E-111</c:v>
                </c:pt>
                <c:pt idx="430">
                  <c:v>1.0274136930697873E-111</c:v>
                </c:pt>
                <c:pt idx="431">
                  <c:v>1.52658496449523E-112</c:v>
                </c:pt>
                <c:pt idx="432">
                  <c:v>2.2520064574290722E-113</c:v>
                </c:pt>
                <c:pt idx="433">
                  <c:v>3.2983087132838079E-114</c:v>
                </c:pt>
                <c:pt idx="434">
                  <c:v>4.7960752928901699E-115</c:v>
                </c:pt>
                <c:pt idx="435">
                  <c:v>6.9239464839653077E-116</c:v>
                </c:pt>
                <c:pt idx="436">
                  <c:v>9.9241754218442773E-117</c:v>
                </c:pt>
                <c:pt idx="437">
                  <c:v>1.4122389391063945E-117</c:v>
                </c:pt>
                <c:pt idx="438">
                  <c:v>1.9952391201161712E-118</c:v>
                </c:pt>
                <c:pt idx="439">
                  <c:v>2.7986896417405373E-119</c:v>
                </c:pt>
                <c:pt idx="440">
                  <c:v>3.8975127923309681E-120</c:v>
                </c:pt>
                <c:pt idx="441">
                  <c:v>5.3888162849395666E-121</c:v>
                </c:pt>
                <c:pt idx="442">
                  <c:v>7.3972828696448313E-122</c:v>
                </c:pt>
                <c:pt idx="443">
                  <c:v>1.008147539307967E-122</c:v>
                </c:pt>
                <c:pt idx="444">
                  <c:v>1.3641087111320873E-123</c:v>
                </c:pt>
                <c:pt idx="445">
                  <c:v>1.8325122645988076E-124</c:v>
                </c:pt>
                <c:pt idx="446">
                  <c:v>2.4440935074261123E-125</c:v>
                </c:pt>
                <c:pt idx="447">
                  <c:v>3.2363968105735559E-126</c:v>
                </c:pt>
                <c:pt idx="448">
                  <c:v>4.2547958935443754E-127</c:v>
                </c:pt>
                <c:pt idx="449">
                  <c:v>5.553524831593497E-128</c:v>
                </c:pt>
                <c:pt idx="450">
                  <c:v>7.1966722490881078E-129</c:v>
                </c:pt>
                <c:pt idx="451">
                  <c:v>9.2590781702407256E-130</c:v>
                </c:pt>
                <c:pt idx="452">
                  <c:v>1.1827059906082387E-130</c:v>
                </c:pt>
                <c:pt idx="453">
                  <c:v>1.4998881096517102E-131</c:v>
                </c:pt>
                <c:pt idx="454">
                  <c:v>1.8884867744898772E-132</c:v>
                </c:pt>
                <c:pt idx="455">
                  <c:v>2.3607068102534311E-133</c:v>
                </c:pt>
                <c:pt idx="456">
                  <c:v>2.929835101440193E-134</c:v>
                </c:pt>
                <c:pt idx="457">
                  <c:v>3.6100841271043949E-135</c:v>
                </c:pt>
                <c:pt idx="458">
                  <c:v>4.4163601960753227E-136</c:v>
                </c:pt>
                <c:pt idx="459">
                  <c:v>5.363949385958394E-137</c:v>
                </c:pt>
                <c:pt idx="460">
                  <c:v>6.4681171196881971E-138</c:v>
                </c:pt>
                <c:pt idx="461">
                  <c:v>7.7436211778007001E-139</c:v>
                </c:pt>
                <c:pt idx="462">
                  <c:v>9.2041426802480097E-140</c:v>
                </c:pt>
                <c:pt idx="463">
                  <c:v>1.0861645032794558E-140</c:v>
                </c:pt>
                <c:pt idx="464">
                  <c:v>1.2725676786057778E-141</c:v>
                </c:pt>
                <c:pt idx="465">
                  <c:v>1.4802640480257164E-142</c:v>
                </c:pt>
                <c:pt idx="466">
                  <c:v>1.7095055449650716E-143</c:v>
                </c:pt>
                <c:pt idx="467">
                  <c:v>1.9600847784741806E-144</c:v>
                </c:pt>
                <c:pt idx="468">
                  <c:v>2.2312704716042853E-145</c:v>
                </c:pt>
                <c:pt idx="469">
                  <c:v>2.5217533116217174E-146</c:v>
                </c:pt>
                <c:pt idx="470">
                  <c:v>2.8296062191592686E-147</c:v>
                </c:pt>
                <c:pt idx="471">
                  <c:v>3.1522628415201301E-148</c:v>
                </c:pt>
                <c:pt idx="472">
                  <c:v>3.4865176141019018E-149</c:v>
                </c:pt>
                <c:pt idx="473">
                  <c:v>3.8285500101496048E-150</c:v>
                </c:pt>
                <c:pt idx="474">
                  <c:v>4.173974629073184E-151</c:v>
                </c:pt>
                <c:pt idx="475">
                  <c:v>4.5179175942269072E-152</c:v>
                </c:pt>
                <c:pt idx="476">
                  <c:v>4.855118399030507E-153</c:v>
                </c:pt>
                <c:pt idx="477">
                  <c:v>5.1800549297289773E-154</c:v>
                </c:pt>
                <c:pt idx="478">
                  <c:v>5.4870879911621328E-155</c:v>
                </c:pt>
                <c:pt idx="479">
                  <c:v>5.7706203629424148E-156</c:v>
                </c:pt>
                <c:pt idx="480">
                  <c:v>6.0252643119639361E-157</c:v>
                </c:pt>
                <c:pt idx="481">
                  <c:v>6.2460106700426424E-158</c:v>
                </c:pt>
                <c:pt idx="482">
                  <c:v>6.4283921246202697E-159</c:v>
                </c:pt>
                <c:pt idx="483">
                  <c:v>6.5686333157273691E-160</c:v>
                </c:pt>
                <c:pt idx="484">
                  <c:v>6.6637807068381155E-161</c:v>
                </c:pt>
                <c:pt idx="485">
                  <c:v>6.7118059935568141E-162</c:v>
                </c:pt>
                <c:pt idx="486">
                  <c:v>6.7116779942351317E-163</c:v>
                </c:pt>
                <c:pt idx="487">
                  <c:v>6.6633994637816321E-164</c:v>
                </c:pt>
                <c:pt idx="488">
                  <c:v>6.5680069950757028E-165</c:v>
                </c:pt>
                <c:pt idx="489">
                  <c:v>6.4275340129135462E-166</c:v>
                </c:pt>
                <c:pt idx="490">
                  <c:v>6.2449387056111903E-167</c:v>
                </c:pt>
                <c:pt idx="491">
                  <c:v>6.024000461621871E-168</c:v>
                </c:pt>
                <c:pt idx="492">
                  <c:v>5.769189874227122E-169</c:v>
                </c:pt>
                <c:pt idx="493">
                  <c:v>5.4855185556273591E-170</c:v>
                </c:pt>
                <c:pt idx="494">
                  <c:v>5.1783757959347896E-171</c:v>
                </c:pt>
                <c:pt idx="495">
                  <c:v>4.8533594746845554E-172</c:v>
                </c:pt>
                <c:pt idx="496">
                  <c:v>4.5161085755444977E-173</c:v>
                </c:pt>
                <c:pt idx="497">
                  <c:v>4.1721441919666612E-174</c:v>
                </c:pt>
                <c:pt idx="498">
                  <c:v>3.8267250927096745E-175</c:v>
                </c:pt>
                <c:pt idx="499">
                  <c:v>3.4847228133842319E-176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A-F84D-9386-FAD2DC171862}"/>
            </c:ext>
          </c:extLst>
        </c:ser>
        <c:ser>
          <c:idx val="2"/>
          <c:order val="2"/>
          <c:tx>
            <c:strRef>
              <c:f>'Normal Approximation '!$D$47</c:f>
              <c:strCache>
                <c:ptCount val="1"/>
                <c:pt idx="0">
                  <c:v>Pr(θ = 1/4) = 0.25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'Normal Approximation '!$D$48:$D$547</c:f>
              <c:numCache>
                <c:formatCode>General</c:formatCode>
                <c:ptCount val="500"/>
                <c:pt idx="0">
                  <c:v>1.0611814677875598E-74</c:v>
                </c:pt>
                <c:pt idx="1">
                  <c:v>3.9960625786533081E-74</c:v>
                </c:pt>
                <c:pt idx="2">
                  <c:v>1.4967788240711784E-73</c:v>
                </c:pt>
                <c:pt idx="3">
                  <c:v>5.5765513513510438E-73</c:v>
                </c:pt>
                <c:pt idx="4">
                  <c:v>2.0666003901347835E-72</c:v>
                </c:pt>
                <c:pt idx="5">
                  <c:v>7.6178082060712451E-72</c:v>
                </c:pt>
                <c:pt idx="6">
                  <c:v>2.7930987293299729E-71</c:v>
                </c:pt>
                <c:pt idx="7">
                  <c:v>1.0186506487884985E-70</c:v>
                </c:pt>
                <c:pt idx="8">
                  <c:v>3.6952767615385097E-70</c:v>
                </c:pt>
                <c:pt idx="9">
                  <c:v>1.3333722165226804E-69</c:v>
                </c:pt>
                <c:pt idx="10">
                  <c:v>4.7856238266887313E-69</c:v>
                </c:pt>
                <c:pt idx="11">
                  <c:v>1.7084742608656208E-68</c:v>
                </c:pt>
                <c:pt idx="12">
                  <c:v>6.0668191434259998E-68</c:v>
                </c:pt>
                <c:pt idx="13">
                  <c:v>2.142872751936511E-67</c:v>
                </c:pt>
                <c:pt idx="14">
                  <c:v>7.528603797701266E-67</c:v>
                </c:pt>
                <c:pt idx="15">
                  <c:v>2.630965954488894E-66</c:v>
                </c:pt>
                <c:pt idx="16">
                  <c:v>9.1453164950849313E-66</c:v>
                </c:pt>
                <c:pt idx="17">
                  <c:v>3.1620226560002244E-65</c:v>
                </c:pt>
                <c:pt idx="18">
                  <c:v>1.0874616261083559E-64</c:v>
                </c:pt>
                <c:pt idx="19">
                  <c:v>3.7200230418008732E-64</c:v>
                </c:pt>
                <c:pt idx="20">
                  <c:v>1.2657852919098873E-63</c:v>
                </c:pt>
                <c:pt idx="21">
                  <c:v>4.2840761899122915E-63</c:v>
                </c:pt>
                <c:pt idx="22">
                  <c:v>1.4422383937479153E-62</c:v>
                </c:pt>
                <c:pt idx="23">
                  <c:v>4.8294719207747482E-62</c:v>
                </c:pt>
                <c:pt idx="24">
                  <c:v>1.6085885160154889E-61</c:v>
                </c:pt>
                <c:pt idx="25">
                  <c:v>5.3293348473851506E-61</c:v>
                </c:pt>
                <c:pt idx="26">
                  <c:v>1.7562396526062522E-60</c:v>
                </c:pt>
                <c:pt idx="27">
                  <c:v>5.7567487399932811E-60</c:v>
                </c:pt>
                <c:pt idx="28">
                  <c:v>1.8769534268485262E-59</c:v>
                </c:pt>
                <c:pt idx="29">
                  <c:v>6.0871281424929127E-59</c:v>
                </c:pt>
                <c:pt idx="30">
                  <c:v>1.9636049490756416E-58</c:v>
                </c:pt>
                <c:pt idx="31">
                  <c:v>6.3005508003221247E-58</c:v>
                </c:pt>
                <c:pt idx="32">
                  <c:v>2.0108776305800734E-57</c:v>
                </c:pt>
                <c:pt idx="33">
                  <c:v>6.3837444635928542E-57</c:v>
                </c:pt>
                <c:pt idx="34">
                  <c:v>2.0158029263385874E-56</c:v>
                </c:pt>
                <c:pt idx="35">
                  <c:v>6.3314528099751078E-56</c:v>
                </c:pt>
                <c:pt idx="36">
                  <c:v>1.9780688466942328E-55</c:v>
                </c:pt>
                <c:pt idx="37">
                  <c:v>6.1469850636225781E-55</c:v>
                </c:pt>
                <c:pt idx="38">
                  <c:v>1.9000526634999639E-54</c:v>
                </c:pt>
                <c:pt idx="39">
                  <c:v>5.8418694147674058E-54</c:v>
                </c:pt>
                <c:pt idx="40">
                  <c:v>1.7865730443067957E-53</c:v>
                </c:pt>
                <c:pt idx="41">
                  <c:v>5.4346607012516155E-53</c:v>
                </c:pt>
                <c:pt idx="42">
                  <c:v>1.6443975431209327E-52</c:v>
                </c:pt>
                <c:pt idx="43">
                  <c:v>4.9490737895754122E-52</c:v>
                </c:pt>
                <c:pt idx="44">
                  <c:v>1.4815754218894308E-51</c:v>
                </c:pt>
                <c:pt idx="45">
                  <c:v>4.4117035968219694E-51</c:v>
                </c:pt>
                <c:pt idx="46">
                  <c:v>1.3066871306652229E-50</c:v>
                </c:pt>
                <c:pt idx="47">
                  <c:v>3.8496356466069319E-50</c:v>
                </c:pt>
                <c:pt idx="48">
                  <c:v>1.1281071876041198E-49</c:v>
                </c:pt>
                <c:pt idx="49">
                  <c:v>3.2882424476432628E-49</c:v>
                </c:pt>
                <c:pt idx="50">
                  <c:v>9.5336679602087837E-49</c:v>
                </c:pt>
                <c:pt idx="51">
                  <c:v>2.7494063978411316E-48</c:v>
                </c:pt>
                <c:pt idx="52">
                  <c:v>7.8867955283936121E-48</c:v>
                </c:pt>
                <c:pt idx="53">
                  <c:v>2.2503234713783892E-47</c:v>
                </c:pt>
                <c:pt idx="54">
                  <c:v>6.3866342299732816E-47</c:v>
                </c:pt>
                <c:pt idx="55">
                  <c:v>1.802942451049822E-46</c:v>
                </c:pt>
                <c:pt idx="56">
                  <c:v>5.0626092760706466E-46</c:v>
                </c:pt>
                <c:pt idx="57">
                  <c:v>1.414000888789073E-45</c:v>
                </c:pt>
                <c:pt idx="58">
                  <c:v>3.9283274363709304E-45</c:v>
                </c:pt>
                <c:pt idx="59">
                  <c:v>1.0855464309836431E-44</c:v>
                </c:pt>
                <c:pt idx="60">
                  <c:v>2.9838147281941791E-44</c:v>
                </c:pt>
                <c:pt idx="61">
                  <c:v>8.1578934489362788E-44</c:v>
                </c:pt>
                <c:pt idx="62">
                  <c:v>2.2185382961492282E-43</c:v>
                </c:pt>
                <c:pt idx="63">
                  <c:v>6.0012063056476348E-43</c:v>
                </c:pt>
                <c:pt idx="64">
                  <c:v>1.6147039580598279E-42</c:v>
                </c:pt>
                <c:pt idx="65">
                  <c:v>4.3214549367965464E-42</c:v>
                </c:pt>
                <c:pt idx="66">
                  <c:v>1.1504024376099296E-41</c:v>
                </c:pt>
                <c:pt idx="67">
                  <c:v>3.0461572841581738E-41</c:v>
                </c:pt>
                <c:pt idx="68">
                  <c:v>8.0230145561725584E-41</c:v>
                </c:pt>
                <c:pt idx="69">
                  <c:v>2.1018686004678595E-40</c:v>
                </c:pt>
                <c:pt idx="70">
                  <c:v>5.4771706270171634E-40</c:v>
                </c:pt>
                <c:pt idx="71">
                  <c:v>1.4196775163525085E-39</c:v>
                </c:pt>
                <c:pt idx="72">
                  <c:v>3.6602088284479333E-39</c:v>
                </c:pt>
                <c:pt idx="73">
                  <c:v>9.3865230264518997E-39</c:v>
                </c:pt>
                <c:pt idx="74">
                  <c:v>2.3943429796481106E-38</c:v>
                </c:pt>
                <c:pt idx="75">
                  <c:v>6.075061779451803E-38</c:v>
                </c:pt>
                <c:pt idx="76">
                  <c:v>1.5331962982898631E-37</c:v>
                </c:pt>
                <c:pt idx="77">
                  <c:v>3.8488195610892741E-37</c:v>
                </c:pt>
                <c:pt idx="78">
                  <c:v>9.6103690649912278E-37</c:v>
                </c:pt>
                <c:pt idx="79">
                  <c:v>2.3869059492847783E-36</c:v>
                </c:pt>
                <c:pt idx="80">
                  <c:v>5.896757575145024E-36</c:v>
                </c:pt>
                <c:pt idx="81">
                  <c:v>1.4490186198286898E-35</c:v>
                </c:pt>
                <c:pt idx="82">
                  <c:v>3.5417457756623727E-35</c:v>
                </c:pt>
                <c:pt idx="83">
                  <c:v>8.6108005295042051E-35</c:v>
                </c:pt>
                <c:pt idx="84">
                  <c:v>2.0823436312965268E-34</c:v>
                </c:pt>
                <c:pt idx="85">
                  <c:v>5.0089188415898797E-34</c:v>
                </c:pt>
                <c:pt idx="86">
                  <c:v>1.1984455766907079E-33</c:v>
                </c:pt>
                <c:pt idx="87">
                  <c:v>2.8521697176101806E-33</c:v>
                </c:pt>
                <c:pt idx="88">
                  <c:v>6.7517311109654149E-33</c:v>
                </c:pt>
                <c:pt idx="89">
                  <c:v>1.5897822272069031E-32</c:v>
                </c:pt>
                <c:pt idx="90">
                  <c:v>3.723427164245239E-32</c:v>
                </c:pt>
                <c:pt idx="91">
                  <c:v>8.6742276141278246E-32</c:v>
                </c:pt>
                <c:pt idx="92">
                  <c:v>2.0100251477377361E-31</c:v>
                </c:pt>
                <c:pt idx="93">
                  <c:v>4.6329209906287616E-31</c:v>
                </c:pt>
                <c:pt idx="94">
                  <c:v>1.0621626421950317E-30</c:v>
                </c:pt>
                <c:pt idx="95">
                  <c:v>2.4221993161141661E-30</c:v>
                </c:pt>
                <c:pt idx="96">
                  <c:v>5.4942884689117436E-30</c:v>
                </c:pt>
                <c:pt idx="97">
                  <c:v>1.2396405211462608E-29</c:v>
                </c:pt>
                <c:pt idx="98">
                  <c:v>2.7820363239947279E-29</c:v>
                </c:pt>
                <c:pt idx="99">
                  <c:v>6.2102996291331599E-29</c:v>
                </c:pt>
                <c:pt idx="100">
                  <c:v>1.3789389469193864E-28</c:v>
                </c:pt>
                <c:pt idx="101">
                  <c:v>3.045511528280913E-28</c:v>
                </c:pt>
                <c:pt idx="102">
                  <c:v>6.6904939667322443E-28</c:v>
                </c:pt>
                <c:pt idx="103">
                  <c:v>1.4619712926598854E-27</c:v>
                </c:pt>
                <c:pt idx="104">
                  <c:v>3.1776219896436266E-27</c:v>
                </c:pt>
                <c:pt idx="105">
                  <c:v>6.8698672557322201E-27</c:v>
                </c:pt>
                <c:pt idx="106">
                  <c:v>1.4773288684906694E-26</c:v>
                </c:pt>
                <c:pt idx="107">
                  <c:v>3.160012127627068E-26</c:v>
                </c:pt>
                <c:pt idx="108">
                  <c:v>6.7233085119513247E-26</c:v>
                </c:pt>
                <c:pt idx="109">
                  <c:v>1.422853074992496E-25</c:v>
                </c:pt>
                <c:pt idx="110">
                  <c:v>2.9951584285002631E-25</c:v>
                </c:pt>
                <c:pt idx="111">
                  <c:v>6.2713677398071214E-25</c:v>
                </c:pt>
                <c:pt idx="112">
                  <c:v>1.3061331793246742E-24</c:v>
                </c:pt>
                <c:pt idx="113">
                  <c:v>2.7057980653863037E-24</c:v>
                </c:pt>
                <c:pt idx="114">
                  <c:v>5.5755283428404941E-24</c:v>
                </c:pt>
                <c:pt idx="115">
                  <c:v>1.1427714969644342E-23</c:v>
                </c:pt>
                <c:pt idx="116">
                  <c:v>2.3297831359631051E-23</c:v>
                </c:pt>
                <c:pt idx="117">
                  <c:v>4.7244833287454448E-23</c:v>
                </c:pt>
                <c:pt idx="118">
                  <c:v>9.5296262978834613E-23</c:v>
                </c:pt>
                <c:pt idx="119">
                  <c:v>1.911965913665568E-22</c:v>
                </c:pt>
                <c:pt idx="120">
                  <c:v>3.8156378354101282E-22</c:v>
                </c:pt>
                <c:pt idx="121">
                  <c:v>7.5742018284163687E-22</c:v>
                </c:pt>
                <c:pt idx="122">
                  <c:v>1.4955100170781249E-21</c:v>
                </c:pt>
                <c:pt idx="123">
                  <c:v>2.9371390339780509E-21</c:v>
                </c:pt>
                <c:pt idx="124">
                  <c:v>5.7377604095192471E-21</c:v>
                </c:pt>
                <c:pt idx="125">
                  <c:v>1.1149182897810692E-20</c:v>
                </c:pt>
                <c:pt idx="126">
                  <c:v>2.1548964029112562E-20</c:v>
                </c:pt>
                <c:pt idx="127">
                  <c:v>4.1427857938161335E-20</c:v>
                </c:pt>
                <c:pt idx="128">
                  <c:v>7.9221176236049522E-20</c:v>
                </c:pt>
                <c:pt idx="129">
                  <c:v>1.5068597070627647E-19</c:v>
                </c:pt>
                <c:pt idx="130">
                  <c:v>2.8509334516474798E-19</c:v>
                </c:pt>
                <c:pt idx="131">
                  <c:v>5.3651771391271481E-19</c:v>
                </c:pt>
                <c:pt idx="132">
                  <c:v>1.0043007264240777E-18</c:v>
                </c:pt>
                <c:pt idx="133">
                  <c:v>1.869933723916721E-18</c:v>
                </c:pt>
                <c:pt idx="134">
                  <c:v>3.4631505950281557E-18</c:v>
                </c:pt>
                <c:pt idx="135">
                  <c:v>6.3796854479669506E-18</c:v>
                </c:pt>
                <c:pt idx="136">
                  <c:v>1.1689875372534014E-17</c:v>
                </c:pt>
                <c:pt idx="137">
                  <c:v>2.1306063734770157E-17</c:v>
                </c:pt>
                <c:pt idx="138">
                  <c:v>3.8625960177899417E-17</c:v>
                </c:pt>
                <c:pt idx="139">
                  <c:v>6.9652720029532005E-17</c:v>
                </c:pt>
                <c:pt idx="140">
                  <c:v>1.249336991528999E-16</c:v>
                </c:pt>
                <c:pt idx="141">
                  <c:v>2.2289680498445803E-16</c:v>
                </c:pt>
                <c:pt idx="142">
                  <c:v>3.9555858380769464E-16</c:v>
                </c:pt>
                <c:pt idx="143">
                  <c:v>6.9823322278676033E-16</c:v>
                </c:pt>
                <c:pt idx="144">
                  <c:v>1.2259504883520181E-15</c:v>
                </c:pt>
                <c:pt idx="145">
                  <c:v>2.1410562564803362E-15</c:v>
                </c:pt>
                <c:pt idx="146">
                  <c:v>3.7193406101346137E-15</c:v>
                </c:pt>
                <c:pt idx="147">
                  <c:v>6.4266781575756278E-15</c:v>
                </c:pt>
                <c:pt idx="148">
                  <c:v>1.1045614362500364E-14</c:v>
                </c:pt>
                <c:pt idx="149">
                  <c:v>1.8883214550125648E-14</c:v>
                </c:pt>
                <c:pt idx="150">
                  <c:v>3.2110325241396511E-14</c:v>
                </c:pt>
                <c:pt idx="151">
                  <c:v>5.4312051474095207E-14</c:v>
                </c:pt>
                <c:pt idx="152">
                  <c:v>9.1375640861547647E-14</c:v>
                </c:pt>
                <c:pt idx="153">
                  <c:v>1.529140497982773E-13</c:v>
                </c:pt>
                <c:pt idx="154">
                  <c:v>2.5453474329532555E-13</c:v>
                </c:pt>
                <c:pt idx="155">
                  <c:v>4.2143390946590938E-13</c:v>
                </c:pt>
                <c:pt idx="156">
                  <c:v>6.9405615345737209E-13</c:v>
                </c:pt>
                <c:pt idx="157">
                  <c:v>1.1369528821317321E-12</c:v>
                </c:pt>
                <c:pt idx="158">
                  <c:v>1.852563276352201E-12</c:v>
                </c:pt>
                <c:pt idx="159">
                  <c:v>3.0025231208549561E-12</c:v>
                </c:pt>
                <c:pt idx="160">
                  <c:v>4.8404127459591778E-12</c:v>
                </c:pt>
                <c:pt idx="161">
                  <c:v>7.7617769314943904E-12</c:v>
                </c:pt>
                <c:pt idx="162">
                  <c:v>1.238005700592073E-11</c:v>
                </c:pt>
                <c:pt idx="163">
                  <c:v>1.9641147520806322E-11</c:v>
                </c:pt>
                <c:pt idx="164">
                  <c:v>3.099515385799204E-11</c:v>
                </c:pt>
                <c:pt idx="165">
                  <c:v>4.8652309554228869E-11</c:v>
                </c:pt>
                <c:pt idx="166">
                  <c:v>7.5961905767306407E-11</c:v>
                </c:pt>
                <c:pt idx="167">
                  <c:v>1.1796983405624769E-10</c:v>
                </c:pt>
                <c:pt idx="168">
                  <c:v>1.8223374947112011E-10</c:v>
                </c:pt>
                <c:pt idx="169">
                  <c:v>2.8000731629845511E-10</c:v>
                </c:pt>
                <c:pt idx="170">
                  <c:v>4.279496477708778E-10</c:v>
                </c:pt>
                <c:pt idx="171">
                  <c:v>6.5057698161756837E-10</c:v>
                </c:pt>
                <c:pt idx="172">
                  <c:v>9.8375610169278513E-10</c:v>
                </c:pt>
                <c:pt idx="173">
                  <c:v>1.4796497011405117E-9</c:v>
                </c:pt>
                <c:pt idx="174">
                  <c:v>2.2136711663698599E-9</c:v>
                </c:pt>
                <c:pt idx="175">
                  <c:v>3.2942005223351978E-9</c:v>
                </c:pt>
                <c:pt idx="176">
                  <c:v>4.8760671857292965E-9</c:v>
                </c:pt>
                <c:pt idx="177">
                  <c:v>7.179133942422807E-9</c:v>
                </c:pt>
                <c:pt idx="178">
                  <c:v>1.051373816503517E-8</c:v>
                </c:pt>
                <c:pt idx="179">
                  <c:v>1.5315281509581214E-8</c:v>
                </c:pt>
                <c:pt idx="180">
                  <c:v>2.2190931696984821E-8</c:v>
                </c:pt>
                <c:pt idx="181">
                  <c:v>3.1982235381221889E-8</c:v>
                </c:pt>
                <c:pt idx="182">
                  <c:v>4.5848467064096884E-8</c:v>
                </c:pt>
                <c:pt idx="183">
                  <c:v>6.5376783537036899E-8</c:v>
                </c:pt>
                <c:pt idx="184">
                  <c:v>9.2726743117236323E-8</c:v>
                </c:pt>
                <c:pt idx="185">
                  <c:v>1.3081850694571081E-7</c:v>
                </c:pt>
                <c:pt idx="186">
                  <c:v>1.8357608174433929E-7</c:v>
                </c:pt>
                <c:pt idx="187">
                  <c:v>2.5623929440220868E-7</c:v>
                </c:pt>
                <c:pt idx="188">
                  <c:v>3.557607969762901E-7</c:v>
                </c:pt>
                <c:pt idx="189">
                  <c:v>4.9130725218823603E-7</c:v>
                </c:pt>
                <c:pt idx="190">
                  <c:v>6.7488688110221913E-7</c:v>
                </c:pt>
                <c:pt idx="191">
                  <c:v>9.2212866653370799E-7</c:v>
                </c:pt>
                <c:pt idx="192">
                  <c:v>1.2532415536743867E-6</c:v>
                </c:pt>
                <c:pt idx="193">
                  <c:v>1.6941847775174198E-6</c:v>
                </c:pt>
                <c:pt idx="194">
                  <c:v>2.2780827209678205E-6</c:v>
                </c:pt>
                <c:pt idx="195">
                  <c:v>3.0469191516033679E-6</c:v>
                </c:pt>
                <c:pt idx="196">
                  <c:v>4.0535459186398209E-6</c:v>
                </c:pt>
                <c:pt idx="197">
                  <c:v>5.364039773473632E-6</c:v>
                </c:pt>
                <c:pt idx="198">
                  <c:v>7.0604374133227037E-6</c:v>
                </c:pt>
                <c:pt idx="199">
                  <c:v>9.2438726066246593E-6</c:v>
                </c:pt>
                <c:pt idx="200">
                  <c:v>1.2038129795367746E-5</c:v>
                </c:pt>
                <c:pt idx="201">
                  <c:v>1.5593615355500697E-5</c:v>
                </c:pt>
                <c:pt idx="202">
                  <c:v>2.0091730262933668E-5</c:v>
                </c:pt>
                <c:pt idx="203">
                  <c:v>2.5749605899311806E-5</c:v>
                </c:pt>
                <c:pt idx="204">
                  <c:v>3.2825137945507906E-5</c:v>
                </c:pt>
                <c:pt idx="205">
                  <c:v>4.1622221788912623E-5</c:v>
                </c:pt>
                <c:pt idx="206">
                  <c:v>5.2496056946876922E-5</c:v>
                </c:pt>
                <c:pt idx="207">
                  <c:v>6.5858348377335232E-5</c:v>
                </c:pt>
                <c:pt idx="208">
                  <c:v>8.2182190319822653E-5</c:v>
                </c:pt>
                <c:pt idx="209">
                  <c:v>1.0200637505595285E-4</c:v>
                </c:pt>
                <c:pt idx="210">
                  <c:v>1.2593882674802792E-4</c:v>
                </c:pt>
                <c:pt idx="211">
                  <c:v>1.5465882182992121E-4</c:v>
                </c:pt>
                <c:pt idx="212">
                  <c:v>1.8891762523634168E-4</c:v>
                </c:pt>
                <c:pt idx="213">
                  <c:v>2.2953714935919071E-4</c:v>
                </c:pt>
                <c:pt idx="214">
                  <c:v>2.7740623352037074E-4</c:v>
                </c:pt>
                <c:pt idx="215">
                  <c:v>3.3347414949316665E-4</c:v>
                </c:pt>
                <c:pt idx="216">
                  <c:v>3.987409665496653E-4</c:v>
                </c:pt>
                <c:pt idx="217">
                  <c:v>4.7424446057897879E-4</c:v>
                </c:pt>
                <c:pt idx="218">
                  <c:v>5.6104332820555269E-4</c:v>
                </c:pt>
                <c:pt idx="219">
                  <c:v>6.6019656971648898E-4</c:v>
                </c:pt>
                <c:pt idx="220">
                  <c:v>7.7273903385934625E-4</c:v>
                </c:pt>
                <c:pt idx="221">
                  <c:v>8.9965327152525404E-4</c:v>
                </c:pt>
                <c:pt idx="222">
                  <c:v>1.0418380205741201E-3</c:v>
                </c:pt>
                <c:pt idx="223">
                  <c:v>1.2000738353303262E-3</c:v>
                </c:pt>
                <c:pt idx="224">
                  <c:v>1.3749865744749996E-3</c:v>
                </c:pt>
                <c:pt idx="225">
                  <c:v>1.5670096613649544E-3</c:v>
                </c:pt>
                <c:pt idx="226">
                  <c:v>1.7763462209514837E-3</c:v>
                </c:pt>
                <c:pt idx="227">
                  <c:v>2.0029323661503715E-3</c:v>
                </c:pt>
                <c:pt idx="228">
                  <c:v>2.2464030419335822E-3</c:v>
                </c:pt>
                <c:pt idx="229">
                  <c:v>2.5060619259508238E-3</c:v>
                </c:pt>
                <c:pt idx="230">
                  <c:v>2.7808569194417818E-3</c:v>
                </c:pt>
                <c:pt idx="231">
                  <c:v>3.069362732569888E-3</c:v>
                </c:pt>
                <c:pt idx="232">
                  <c:v>3.3697719675829158E-3</c:v>
                </c:pt>
                <c:pt idx="233">
                  <c:v>3.6798959280644789E-3</c:v>
                </c:pt>
                <c:pt idx="234">
                  <c:v>3.997176133437948E-3</c:v>
                </c:pt>
                <c:pt idx="235">
                  <c:v>4.318707199443504E-3</c:v>
                </c:pt>
                <c:pt idx="236">
                  <c:v>4.6412713664822384E-3</c:v>
                </c:pt>
                <c:pt idx="237">
                  <c:v>4.961384531677872E-3</c:v>
                </c:pt>
                <c:pt idx="238">
                  <c:v>5.2753531842314426E-3</c:v>
                </c:pt>
                <c:pt idx="239">
                  <c:v>5.5793411772450154E-3</c:v>
                </c:pt>
                <c:pt idx="240">
                  <c:v>5.8694448149416789E-3</c:v>
                </c:pt>
                <c:pt idx="241">
                  <c:v>6.1417743153749519E-3</c:v>
                </c:pt>
                <c:pt idx="242">
                  <c:v>6.392539348227531E-3</c:v>
                </c:pt>
                <c:pt idx="243">
                  <c:v>6.6181360663368416E-3</c:v>
                </c:pt>
                <c:pt idx="244">
                  <c:v>6.8152328662350031E-3</c:v>
                </c:pt>
                <c:pt idx="245">
                  <c:v>6.9808520409788315E-3</c:v>
                </c:pt>
                <c:pt idx="246">
                  <c:v>7.1124445362099609E-3</c:v>
                </c:pt>
                <c:pt idx="247">
                  <c:v>7.2079551899496656E-3</c:v>
                </c:pt>
                <c:pt idx="248">
                  <c:v>7.265876123842446E-3</c:v>
                </c:pt>
                <c:pt idx="249">
                  <c:v>7.2852863477252143E-3</c:v>
                </c:pt>
                <c:pt idx="250">
                  <c:v>7.265876123842446E-3</c:v>
                </c:pt>
                <c:pt idx="251">
                  <c:v>7.2079551899496656E-3</c:v>
                </c:pt>
                <c:pt idx="252">
                  <c:v>7.1124445362099609E-3</c:v>
                </c:pt>
                <c:pt idx="253">
                  <c:v>6.9808520409788315E-3</c:v>
                </c:pt>
                <c:pt idx="254">
                  <c:v>6.8152328662350031E-3</c:v>
                </c:pt>
                <c:pt idx="255">
                  <c:v>6.6181360663368416E-3</c:v>
                </c:pt>
                <c:pt idx="256">
                  <c:v>6.392539348227531E-3</c:v>
                </c:pt>
                <c:pt idx="257">
                  <c:v>6.1417743153749519E-3</c:v>
                </c:pt>
                <c:pt idx="258">
                  <c:v>5.8694448149416789E-3</c:v>
                </c:pt>
                <c:pt idx="259">
                  <c:v>5.5793411772450154E-3</c:v>
                </c:pt>
                <c:pt idx="260">
                  <c:v>5.2753531842314426E-3</c:v>
                </c:pt>
                <c:pt idx="261">
                  <c:v>4.961384531677872E-3</c:v>
                </c:pt>
                <c:pt idx="262">
                  <c:v>4.6412713664822384E-3</c:v>
                </c:pt>
                <c:pt idx="263">
                  <c:v>4.318707199443504E-3</c:v>
                </c:pt>
                <c:pt idx="264">
                  <c:v>3.997176133437948E-3</c:v>
                </c:pt>
                <c:pt idx="265">
                  <c:v>3.6798959280644789E-3</c:v>
                </c:pt>
                <c:pt idx="266">
                  <c:v>3.3697719675829158E-3</c:v>
                </c:pt>
                <c:pt idx="267">
                  <c:v>3.069362732569888E-3</c:v>
                </c:pt>
                <c:pt idx="268">
                  <c:v>2.7808569194417818E-3</c:v>
                </c:pt>
                <c:pt idx="269">
                  <c:v>2.5060619259508238E-3</c:v>
                </c:pt>
                <c:pt idx="270">
                  <c:v>2.2464030419335822E-3</c:v>
                </c:pt>
                <c:pt idx="271">
                  <c:v>2.0029323661503715E-3</c:v>
                </c:pt>
                <c:pt idx="272">
                  <c:v>1.7763462209514837E-3</c:v>
                </c:pt>
                <c:pt idx="273">
                  <c:v>1.5670096613649544E-3</c:v>
                </c:pt>
                <c:pt idx="274">
                  <c:v>1.3749865744749996E-3</c:v>
                </c:pt>
                <c:pt idx="275">
                  <c:v>1.2000738353303262E-3</c:v>
                </c:pt>
                <c:pt idx="276">
                  <c:v>1.0418380205741201E-3</c:v>
                </c:pt>
                <c:pt idx="277">
                  <c:v>8.9965327152525404E-4</c:v>
                </c:pt>
                <c:pt idx="278">
                  <c:v>7.7273903385934625E-4</c:v>
                </c:pt>
                <c:pt idx="279">
                  <c:v>6.6019656971648898E-4</c:v>
                </c:pt>
                <c:pt idx="280">
                  <c:v>5.6104332820555269E-4</c:v>
                </c:pt>
                <c:pt idx="281">
                  <c:v>4.7424446057897879E-4</c:v>
                </c:pt>
                <c:pt idx="282">
                  <c:v>3.987409665496653E-4</c:v>
                </c:pt>
                <c:pt idx="283">
                  <c:v>3.3347414949316665E-4</c:v>
                </c:pt>
                <c:pt idx="284">
                  <c:v>2.7740623352037074E-4</c:v>
                </c:pt>
                <c:pt idx="285">
                  <c:v>2.2953714935919071E-4</c:v>
                </c:pt>
                <c:pt idx="286">
                  <c:v>1.8891762523634168E-4</c:v>
                </c:pt>
                <c:pt idx="287">
                  <c:v>1.5465882182992121E-4</c:v>
                </c:pt>
                <c:pt idx="288">
                  <c:v>1.2593882674802792E-4</c:v>
                </c:pt>
                <c:pt idx="289">
                  <c:v>1.0200637505595285E-4</c:v>
                </c:pt>
                <c:pt idx="290">
                  <c:v>8.2182190319822653E-5</c:v>
                </c:pt>
                <c:pt idx="291">
                  <c:v>6.5858348377335232E-5</c:v>
                </c:pt>
                <c:pt idx="292">
                  <c:v>5.2496056946876922E-5</c:v>
                </c:pt>
                <c:pt idx="293">
                  <c:v>4.1622221788912623E-5</c:v>
                </c:pt>
                <c:pt idx="294">
                  <c:v>3.2825137945507906E-5</c:v>
                </c:pt>
                <c:pt idx="295">
                  <c:v>2.5749605899311806E-5</c:v>
                </c:pt>
                <c:pt idx="296">
                  <c:v>2.0091730262933668E-5</c:v>
                </c:pt>
                <c:pt idx="297">
                  <c:v>1.5593615355500697E-5</c:v>
                </c:pt>
                <c:pt idx="298">
                  <c:v>1.2038129795367746E-5</c:v>
                </c:pt>
                <c:pt idx="299">
                  <c:v>9.2438726066246593E-6</c:v>
                </c:pt>
                <c:pt idx="300">
                  <c:v>7.0604374133227037E-6</c:v>
                </c:pt>
                <c:pt idx="301">
                  <c:v>5.364039773473632E-6</c:v>
                </c:pt>
                <c:pt idx="302">
                  <c:v>4.0535459186398209E-6</c:v>
                </c:pt>
                <c:pt idx="303">
                  <c:v>3.0469191516033679E-6</c:v>
                </c:pt>
                <c:pt idx="304">
                  <c:v>2.2780827209678205E-6</c:v>
                </c:pt>
                <c:pt idx="305">
                  <c:v>1.6941847775174198E-6</c:v>
                </c:pt>
                <c:pt idx="306">
                  <c:v>1.2532415536743867E-6</c:v>
                </c:pt>
                <c:pt idx="307">
                  <c:v>9.2212866653370799E-7</c:v>
                </c:pt>
                <c:pt idx="308">
                  <c:v>6.7488688110221913E-7</c:v>
                </c:pt>
                <c:pt idx="309">
                  <c:v>4.9130725218823603E-7</c:v>
                </c:pt>
                <c:pt idx="310">
                  <c:v>3.557607969762901E-7</c:v>
                </c:pt>
                <c:pt idx="311">
                  <c:v>2.5623929440220868E-7</c:v>
                </c:pt>
                <c:pt idx="312">
                  <c:v>1.8357608174433929E-7</c:v>
                </c:pt>
                <c:pt idx="313">
                  <c:v>1.3081850694571081E-7</c:v>
                </c:pt>
                <c:pt idx="314">
                  <c:v>9.2726743117236323E-8</c:v>
                </c:pt>
                <c:pt idx="315">
                  <c:v>6.5376783537036899E-8</c:v>
                </c:pt>
                <c:pt idx="316">
                  <c:v>4.5848467064096884E-8</c:v>
                </c:pt>
                <c:pt idx="317">
                  <c:v>3.1982235381221889E-8</c:v>
                </c:pt>
                <c:pt idx="318">
                  <c:v>2.2190931696984821E-8</c:v>
                </c:pt>
                <c:pt idx="319">
                  <c:v>1.5315281509581214E-8</c:v>
                </c:pt>
                <c:pt idx="320">
                  <c:v>1.051373816503517E-8</c:v>
                </c:pt>
                <c:pt idx="321">
                  <c:v>7.179133942422807E-9</c:v>
                </c:pt>
                <c:pt idx="322">
                  <c:v>4.8760671857292965E-9</c:v>
                </c:pt>
                <c:pt idx="323">
                  <c:v>3.2942005223351978E-9</c:v>
                </c:pt>
                <c:pt idx="324">
                  <c:v>2.2136711663698599E-9</c:v>
                </c:pt>
                <c:pt idx="325">
                  <c:v>1.4796497011405117E-9</c:v>
                </c:pt>
                <c:pt idx="326">
                  <c:v>9.8375610169278513E-10</c:v>
                </c:pt>
                <c:pt idx="327">
                  <c:v>6.5057698161756837E-10</c:v>
                </c:pt>
                <c:pt idx="328">
                  <c:v>4.279496477708778E-10</c:v>
                </c:pt>
                <c:pt idx="329">
                  <c:v>2.8000731629845511E-10</c:v>
                </c:pt>
                <c:pt idx="330">
                  <c:v>1.8223374947112011E-10</c:v>
                </c:pt>
                <c:pt idx="331">
                  <c:v>1.1796983405624769E-10</c:v>
                </c:pt>
                <c:pt idx="332">
                  <c:v>7.5961905767306407E-11</c:v>
                </c:pt>
                <c:pt idx="333">
                  <c:v>4.8652309554228869E-11</c:v>
                </c:pt>
                <c:pt idx="334">
                  <c:v>3.099515385799204E-11</c:v>
                </c:pt>
                <c:pt idx="335">
                  <c:v>1.9641147520806322E-11</c:v>
                </c:pt>
                <c:pt idx="336">
                  <c:v>1.238005700592073E-11</c:v>
                </c:pt>
                <c:pt idx="337">
                  <c:v>7.7617769314943904E-12</c:v>
                </c:pt>
                <c:pt idx="338">
                  <c:v>4.8404127459591778E-12</c:v>
                </c:pt>
                <c:pt idx="339">
                  <c:v>3.0025231208549561E-12</c:v>
                </c:pt>
                <c:pt idx="340">
                  <c:v>1.852563276352201E-12</c:v>
                </c:pt>
                <c:pt idx="341">
                  <c:v>1.1369528821317321E-12</c:v>
                </c:pt>
                <c:pt idx="342">
                  <c:v>6.9405615345737209E-13</c:v>
                </c:pt>
                <c:pt idx="343">
                  <c:v>4.2143390946590938E-13</c:v>
                </c:pt>
                <c:pt idx="344">
                  <c:v>2.5453474329532555E-13</c:v>
                </c:pt>
                <c:pt idx="345">
                  <c:v>1.529140497982773E-13</c:v>
                </c:pt>
                <c:pt idx="346">
                  <c:v>9.1375640861547647E-14</c:v>
                </c:pt>
                <c:pt idx="347">
                  <c:v>5.4312051474095207E-14</c:v>
                </c:pt>
                <c:pt idx="348">
                  <c:v>3.2110325241396511E-14</c:v>
                </c:pt>
                <c:pt idx="349">
                  <c:v>1.8883214550125648E-14</c:v>
                </c:pt>
                <c:pt idx="350">
                  <c:v>1.1045614362500364E-14</c:v>
                </c:pt>
                <c:pt idx="351">
                  <c:v>6.4266781575756278E-15</c:v>
                </c:pt>
                <c:pt idx="352">
                  <c:v>3.7193406101346137E-15</c:v>
                </c:pt>
                <c:pt idx="353">
                  <c:v>2.1410562564803362E-15</c:v>
                </c:pt>
                <c:pt idx="354">
                  <c:v>1.2259504883520181E-15</c:v>
                </c:pt>
                <c:pt idx="355">
                  <c:v>6.9823322278676033E-16</c:v>
                </c:pt>
                <c:pt idx="356">
                  <c:v>3.9555858380769464E-16</c:v>
                </c:pt>
                <c:pt idx="357">
                  <c:v>2.2289680498445803E-16</c:v>
                </c:pt>
                <c:pt idx="358">
                  <c:v>1.249336991528999E-16</c:v>
                </c:pt>
                <c:pt idx="359">
                  <c:v>6.9652720029532005E-17</c:v>
                </c:pt>
                <c:pt idx="360">
                  <c:v>3.8625960177899417E-17</c:v>
                </c:pt>
                <c:pt idx="361">
                  <c:v>2.1306063734770157E-17</c:v>
                </c:pt>
                <c:pt idx="362">
                  <c:v>1.1689875372534014E-17</c:v>
                </c:pt>
                <c:pt idx="363">
                  <c:v>6.3796854479669506E-18</c:v>
                </c:pt>
                <c:pt idx="364">
                  <c:v>3.4631505950281557E-18</c:v>
                </c:pt>
                <c:pt idx="365">
                  <c:v>1.869933723916721E-18</c:v>
                </c:pt>
                <c:pt idx="366">
                  <c:v>1.0043007264240777E-18</c:v>
                </c:pt>
                <c:pt idx="367">
                  <c:v>5.3651771391271481E-19</c:v>
                </c:pt>
                <c:pt idx="368">
                  <c:v>2.8509334516474798E-19</c:v>
                </c:pt>
                <c:pt idx="369">
                  <c:v>1.5068597070627647E-19</c:v>
                </c:pt>
                <c:pt idx="370">
                  <c:v>7.9221176236049522E-20</c:v>
                </c:pt>
                <c:pt idx="371">
                  <c:v>4.1427857938161335E-20</c:v>
                </c:pt>
                <c:pt idx="372">
                  <c:v>2.1548964029112562E-20</c:v>
                </c:pt>
                <c:pt idx="373">
                  <c:v>1.1149182897810692E-20</c:v>
                </c:pt>
                <c:pt idx="374">
                  <c:v>5.7377604095192471E-21</c:v>
                </c:pt>
                <c:pt idx="375">
                  <c:v>2.9371390339780509E-21</c:v>
                </c:pt>
                <c:pt idx="376">
                  <c:v>1.4955100170781249E-21</c:v>
                </c:pt>
                <c:pt idx="377">
                  <c:v>7.5742018284163687E-22</c:v>
                </c:pt>
                <c:pt idx="378">
                  <c:v>3.8156378354101282E-22</c:v>
                </c:pt>
                <c:pt idx="379">
                  <c:v>1.911965913665568E-22</c:v>
                </c:pt>
                <c:pt idx="380">
                  <c:v>9.5296262978834613E-23</c:v>
                </c:pt>
                <c:pt idx="381">
                  <c:v>4.7244833287454448E-23</c:v>
                </c:pt>
                <c:pt idx="382">
                  <c:v>2.3297831359631051E-23</c:v>
                </c:pt>
                <c:pt idx="383">
                  <c:v>1.1427714969644342E-23</c:v>
                </c:pt>
                <c:pt idx="384">
                  <c:v>5.5755283428404941E-24</c:v>
                </c:pt>
                <c:pt idx="385">
                  <c:v>2.7057980653863037E-24</c:v>
                </c:pt>
                <c:pt idx="386">
                  <c:v>1.3061331793246742E-24</c:v>
                </c:pt>
                <c:pt idx="387">
                  <c:v>6.2713677398071214E-25</c:v>
                </c:pt>
                <c:pt idx="388">
                  <c:v>2.9951584285002631E-25</c:v>
                </c:pt>
                <c:pt idx="389">
                  <c:v>1.422853074992496E-25</c:v>
                </c:pt>
                <c:pt idx="390">
                  <c:v>6.7233085119513247E-26</c:v>
                </c:pt>
                <c:pt idx="391">
                  <c:v>3.160012127627068E-26</c:v>
                </c:pt>
                <c:pt idx="392">
                  <c:v>1.4773288684906694E-26</c:v>
                </c:pt>
                <c:pt idx="393">
                  <c:v>6.8698672557322201E-27</c:v>
                </c:pt>
                <c:pt idx="394">
                  <c:v>3.1776219896436266E-27</c:v>
                </c:pt>
                <c:pt idx="395">
                  <c:v>1.4619712926598854E-27</c:v>
                </c:pt>
                <c:pt idx="396">
                  <c:v>6.6904939667322443E-28</c:v>
                </c:pt>
                <c:pt idx="397">
                  <c:v>3.045511528280913E-28</c:v>
                </c:pt>
                <c:pt idx="398">
                  <c:v>1.3789389469193864E-28</c:v>
                </c:pt>
                <c:pt idx="399">
                  <c:v>6.2102996291331599E-29</c:v>
                </c:pt>
                <c:pt idx="400">
                  <c:v>2.7820363239947279E-29</c:v>
                </c:pt>
                <c:pt idx="401">
                  <c:v>1.2396405211462608E-29</c:v>
                </c:pt>
                <c:pt idx="402">
                  <c:v>5.4942884689117436E-30</c:v>
                </c:pt>
                <c:pt idx="403">
                  <c:v>2.4221993161141661E-30</c:v>
                </c:pt>
                <c:pt idx="404">
                  <c:v>1.0621626421950317E-30</c:v>
                </c:pt>
                <c:pt idx="405">
                  <c:v>4.6329209906287616E-31</c:v>
                </c:pt>
                <c:pt idx="406">
                  <c:v>2.0100251477377361E-31</c:v>
                </c:pt>
                <c:pt idx="407">
                  <c:v>8.6742276141278246E-32</c:v>
                </c:pt>
                <c:pt idx="408">
                  <c:v>3.723427164245239E-32</c:v>
                </c:pt>
                <c:pt idx="409">
                  <c:v>1.5897822272069031E-32</c:v>
                </c:pt>
                <c:pt idx="410">
                  <c:v>6.7517311109654149E-33</c:v>
                </c:pt>
                <c:pt idx="411">
                  <c:v>2.8521697176101806E-33</c:v>
                </c:pt>
                <c:pt idx="412">
                  <c:v>1.1984455766907079E-33</c:v>
                </c:pt>
                <c:pt idx="413">
                  <c:v>5.0089188415898797E-34</c:v>
                </c:pt>
                <c:pt idx="414">
                  <c:v>2.0823436312965268E-34</c:v>
                </c:pt>
                <c:pt idx="415">
                  <c:v>8.6108005295042051E-35</c:v>
                </c:pt>
                <c:pt idx="416">
                  <c:v>3.5417457756623727E-35</c:v>
                </c:pt>
                <c:pt idx="417">
                  <c:v>1.4490186198286898E-35</c:v>
                </c:pt>
                <c:pt idx="418">
                  <c:v>5.896757575145024E-36</c:v>
                </c:pt>
                <c:pt idx="419">
                  <c:v>2.3869059492847783E-36</c:v>
                </c:pt>
                <c:pt idx="420">
                  <c:v>9.6103690649912278E-37</c:v>
                </c:pt>
                <c:pt idx="421">
                  <c:v>3.8488195610892741E-37</c:v>
                </c:pt>
                <c:pt idx="422">
                  <c:v>1.5331962982898631E-37</c:v>
                </c:pt>
                <c:pt idx="423">
                  <c:v>6.075061779451803E-38</c:v>
                </c:pt>
                <c:pt idx="424">
                  <c:v>2.3943429796481106E-38</c:v>
                </c:pt>
                <c:pt idx="425">
                  <c:v>9.3865230264518997E-39</c:v>
                </c:pt>
                <c:pt idx="426">
                  <c:v>3.6602088284479333E-39</c:v>
                </c:pt>
                <c:pt idx="427">
                  <c:v>1.4196775163525085E-39</c:v>
                </c:pt>
                <c:pt idx="428">
                  <c:v>5.4771706270171634E-40</c:v>
                </c:pt>
                <c:pt idx="429">
                  <c:v>2.1018686004678595E-40</c:v>
                </c:pt>
                <c:pt idx="430">
                  <c:v>8.0230145561725584E-41</c:v>
                </c:pt>
                <c:pt idx="431">
                  <c:v>3.0461572841581738E-41</c:v>
                </c:pt>
                <c:pt idx="432">
                  <c:v>1.1504024376099296E-41</c:v>
                </c:pt>
                <c:pt idx="433">
                  <c:v>4.3214549367965464E-42</c:v>
                </c:pt>
                <c:pt idx="434">
                  <c:v>1.6147039580598279E-42</c:v>
                </c:pt>
                <c:pt idx="435">
                  <c:v>6.0012063056476348E-43</c:v>
                </c:pt>
                <c:pt idx="436">
                  <c:v>2.2185382961492282E-43</c:v>
                </c:pt>
                <c:pt idx="437">
                  <c:v>8.1578934489362788E-44</c:v>
                </c:pt>
                <c:pt idx="438">
                  <c:v>2.9838147281941791E-44</c:v>
                </c:pt>
                <c:pt idx="439">
                  <c:v>1.0855464309836431E-44</c:v>
                </c:pt>
                <c:pt idx="440">
                  <c:v>3.9283274363709304E-45</c:v>
                </c:pt>
                <c:pt idx="441">
                  <c:v>1.414000888789073E-45</c:v>
                </c:pt>
                <c:pt idx="442">
                  <c:v>5.0626092760706466E-46</c:v>
                </c:pt>
                <c:pt idx="443">
                  <c:v>1.802942451049822E-46</c:v>
                </c:pt>
                <c:pt idx="444">
                  <c:v>6.3866342299732816E-47</c:v>
                </c:pt>
                <c:pt idx="445">
                  <c:v>2.2503234713783892E-47</c:v>
                </c:pt>
                <c:pt idx="446">
                  <c:v>7.8867955283936121E-48</c:v>
                </c:pt>
                <c:pt idx="447">
                  <c:v>2.7494063978411316E-48</c:v>
                </c:pt>
                <c:pt idx="448">
                  <c:v>9.5336679602087837E-49</c:v>
                </c:pt>
                <c:pt idx="449">
                  <c:v>3.2882424476432628E-49</c:v>
                </c:pt>
                <c:pt idx="450">
                  <c:v>1.1281071876041198E-49</c:v>
                </c:pt>
                <c:pt idx="451">
                  <c:v>3.8496356466069319E-50</c:v>
                </c:pt>
                <c:pt idx="452">
                  <c:v>1.3066871306652229E-50</c:v>
                </c:pt>
                <c:pt idx="453">
                  <c:v>4.4117035968219694E-51</c:v>
                </c:pt>
                <c:pt idx="454">
                  <c:v>1.4815754218894308E-51</c:v>
                </c:pt>
                <c:pt idx="455">
                  <c:v>4.9490737895754122E-52</c:v>
                </c:pt>
                <c:pt idx="456">
                  <c:v>1.6443975431209327E-52</c:v>
                </c:pt>
                <c:pt idx="457">
                  <c:v>5.4346607012516155E-53</c:v>
                </c:pt>
                <c:pt idx="458">
                  <c:v>1.7865730443067957E-53</c:v>
                </c:pt>
                <c:pt idx="459">
                  <c:v>5.8418694147674058E-54</c:v>
                </c:pt>
                <c:pt idx="460">
                  <c:v>1.9000526634999639E-54</c:v>
                </c:pt>
                <c:pt idx="461">
                  <c:v>6.1469850636225781E-55</c:v>
                </c:pt>
                <c:pt idx="462">
                  <c:v>1.9780688466942328E-55</c:v>
                </c:pt>
                <c:pt idx="463">
                  <c:v>6.3314528099751078E-56</c:v>
                </c:pt>
                <c:pt idx="464">
                  <c:v>2.0158029263385874E-56</c:v>
                </c:pt>
                <c:pt idx="465">
                  <c:v>6.3837444635928542E-57</c:v>
                </c:pt>
                <c:pt idx="466">
                  <c:v>2.0108776305800734E-57</c:v>
                </c:pt>
                <c:pt idx="467">
                  <c:v>6.3005508003221247E-58</c:v>
                </c:pt>
                <c:pt idx="468">
                  <c:v>1.9636049490756416E-58</c:v>
                </c:pt>
                <c:pt idx="469">
                  <c:v>6.0871281424929127E-59</c:v>
                </c:pt>
                <c:pt idx="470">
                  <c:v>1.8769534268485262E-59</c:v>
                </c:pt>
                <c:pt idx="471">
                  <c:v>5.7567487399932811E-60</c:v>
                </c:pt>
                <c:pt idx="472">
                  <c:v>1.7562396526062522E-60</c:v>
                </c:pt>
                <c:pt idx="473">
                  <c:v>5.3293348473851506E-61</c:v>
                </c:pt>
                <c:pt idx="474">
                  <c:v>1.6085885160154889E-61</c:v>
                </c:pt>
                <c:pt idx="475">
                  <c:v>4.8294719207747482E-62</c:v>
                </c:pt>
                <c:pt idx="476">
                  <c:v>1.4422383937479153E-62</c:v>
                </c:pt>
                <c:pt idx="477">
                  <c:v>4.2840761899122915E-63</c:v>
                </c:pt>
                <c:pt idx="478">
                  <c:v>1.2657852919098873E-63</c:v>
                </c:pt>
                <c:pt idx="479">
                  <c:v>3.7200230418008732E-64</c:v>
                </c:pt>
                <c:pt idx="480">
                  <c:v>1.0874616261083559E-64</c:v>
                </c:pt>
                <c:pt idx="481">
                  <c:v>3.1620226560002244E-65</c:v>
                </c:pt>
                <c:pt idx="482">
                  <c:v>9.1453164950849313E-66</c:v>
                </c:pt>
                <c:pt idx="483">
                  <c:v>2.630965954488894E-66</c:v>
                </c:pt>
                <c:pt idx="484">
                  <c:v>7.528603797701266E-67</c:v>
                </c:pt>
                <c:pt idx="485">
                  <c:v>2.142872751936511E-67</c:v>
                </c:pt>
                <c:pt idx="486">
                  <c:v>6.0668191434259998E-68</c:v>
                </c:pt>
                <c:pt idx="487">
                  <c:v>1.7084742608656208E-68</c:v>
                </c:pt>
                <c:pt idx="488">
                  <c:v>4.7856238266887313E-69</c:v>
                </c:pt>
                <c:pt idx="489">
                  <c:v>1.3333722165226804E-69</c:v>
                </c:pt>
                <c:pt idx="490">
                  <c:v>3.6952767615385097E-70</c:v>
                </c:pt>
                <c:pt idx="491">
                  <c:v>1.0186506487884985E-70</c:v>
                </c:pt>
                <c:pt idx="492">
                  <c:v>2.7930987293299729E-71</c:v>
                </c:pt>
                <c:pt idx="493">
                  <c:v>7.6178082060712451E-72</c:v>
                </c:pt>
                <c:pt idx="494">
                  <c:v>2.0666003901347835E-72</c:v>
                </c:pt>
                <c:pt idx="495">
                  <c:v>5.5765513513510438E-73</c:v>
                </c:pt>
                <c:pt idx="496">
                  <c:v>1.4967788240711784E-73</c:v>
                </c:pt>
                <c:pt idx="497">
                  <c:v>3.9960625786533081E-74</c:v>
                </c:pt>
                <c:pt idx="498">
                  <c:v>1.0611814677875598E-74</c:v>
                </c:pt>
                <c:pt idx="499">
                  <c:v>2.8030429935639944E-75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EA-F84D-9386-FAD2DC171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819199"/>
        <c:axId val="757034655"/>
      </c:lineChart>
      <c:catAx>
        <c:axId val="120781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034655"/>
        <c:crosses val="autoZero"/>
        <c:auto val="1"/>
        <c:lblAlgn val="ctr"/>
        <c:lblOffset val="100"/>
        <c:noMultiLvlLbl val="0"/>
      </c:catAx>
      <c:valAx>
        <c:axId val="75703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81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1625600</xdr:colOff>
      <xdr:row>242</xdr:row>
      <xdr:rowOff>63500</xdr:rowOff>
    </xdr:from>
    <xdr:to>
      <xdr:col>2</xdr:col>
      <xdr:colOff>1816100</xdr:colOff>
      <xdr:row>243</xdr:row>
      <xdr:rowOff>292100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FEEF45CE-97A0-6640-9AB3-7664969F1038}"/>
            </a:ext>
          </a:extLst>
        </xdr:cNvPr>
        <xdr:cNvSpPr/>
      </xdr:nvSpPr>
      <xdr:spPr>
        <a:xfrm>
          <a:off x="5270500" y="76974700"/>
          <a:ext cx="190500" cy="5461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1123950</xdr:colOff>
      <xdr:row>45</xdr:row>
      <xdr:rowOff>311150</xdr:rowOff>
    </xdr:from>
    <xdr:to>
      <xdr:col>16</xdr:col>
      <xdr:colOff>304800</xdr:colOff>
      <xdr:row>60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49CB1B-5B4C-6140-AA27-AD2CF10C0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1016000</xdr:colOff>
      <xdr:row>61</xdr:row>
      <xdr:rowOff>254000</xdr:rowOff>
    </xdr:from>
    <xdr:to>
      <xdr:col>16</xdr:col>
      <xdr:colOff>584422</xdr:colOff>
      <xdr:row>66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03BBB7-7710-6140-8877-7CFFDBD0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17200" y="19697700"/>
          <a:ext cx="11646122" cy="1358900"/>
        </a:xfrm>
        <a:prstGeom prst="rect">
          <a:avLst/>
        </a:prstGeom>
        <a:effectLst>
          <a:glow rad="127000">
            <a:srgbClr val="FF0000"/>
          </a:glow>
        </a:effectLst>
      </xdr:spPr>
    </xdr:pic>
    <xdr:clientData/>
  </xdr:twoCellAnchor>
  <xdr:twoCellAnchor editAs="oneCell">
    <xdr:from>
      <xdr:col>0</xdr:col>
      <xdr:colOff>50800</xdr:colOff>
      <xdr:row>0</xdr:row>
      <xdr:rowOff>76200</xdr:rowOff>
    </xdr:from>
    <xdr:to>
      <xdr:col>5</xdr:col>
      <xdr:colOff>1485900</xdr:colOff>
      <xdr:row>13</xdr:row>
      <xdr:rowOff>93645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2441C5-0DFC-F341-8A1E-1E15654A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00" y="76200"/>
          <a:ext cx="11036300" cy="4144945"/>
        </a:xfrm>
        <a:prstGeom prst="rect">
          <a:avLst/>
        </a:prstGeom>
        <a:effectLst>
          <a:glow rad="127000">
            <a:srgbClr val="FF0000"/>
          </a:glo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uan/Desktop/Business%20Statistics%20and%20Analysis/Master%20Review%20-%20Main%20/Bayesian%20Statistics/Conjugates%20Notes.xlsx" TargetMode="External"/><Relationship Id="rId1" Type="http://schemas.openxmlformats.org/officeDocument/2006/relationships/externalLinkPath" Target="/Users/kuan/Desktop/Business%20Statistics%20and%20Analysis/Master%20Review%20-%20Main%20/Bayesian%20Statistics/Conjugates%20N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 Page"/>
      <sheetName val="Terminology"/>
      <sheetName val="Semantics"/>
      <sheetName val="Normal Approximation "/>
      <sheetName val="Beta-Bernoulli-Beta PDF"/>
      <sheetName val="Beta-Bernoulli-Beta CDF"/>
      <sheetName val="Exponential-Gamma"/>
      <sheetName val="Conjugates Examples"/>
      <sheetName val="ThrowAway"/>
    </sheetNames>
    <sheetDataSet>
      <sheetData sheetId="0"/>
      <sheetData sheetId="1"/>
      <sheetData sheetId="2"/>
      <sheetData sheetId="3">
        <row r="47">
          <cell r="B47" t="str">
            <v xml:space="preserve">Pr(θ = 1/12) = 0.25 </v>
          </cell>
          <cell r="C47" t="str">
            <v>Pr(θ = 1/6) = 0.5</v>
          </cell>
          <cell r="D47" t="str">
            <v>Pr(θ = 1/4) = 0.25</v>
          </cell>
        </row>
        <row r="48">
          <cell r="B48">
            <v>6.3516783887246281E-22</v>
          </cell>
          <cell r="C48">
            <v>1.9980187858218562E-45</v>
          </cell>
          <cell r="D48">
            <v>1.0611814677875598E-74</v>
          </cell>
        </row>
        <row r="49">
          <cell r="B49">
            <v>1.8533381713694192E-21</v>
          </cell>
          <cell r="C49">
            <v>6.5641229000010694E-45</v>
          </cell>
          <cell r="D49">
            <v>3.9960625786533081E-74</v>
          </cell>
        </row>
        <row r="50">
          <cell r="B50">
            <v>5.3374698612749547E-21</v>
          </cell>
          <cell r="C50">
            <v>2.1410502489790791E-44</v>
          </cell>
          <cell r="D50">
            <v>1.4967788240711784E-73</v>
          </cell>
        </row>
        <row r="51">
          <cell r="B51">
            <v>1.5171579438532221E-20</v>
          </cell>
          <cell r="C51">
            <v>6.9334603452355302E-44</v>
          </cell>
          <cell r="D51">
            <v>5.5765513513510438E-73</v>
          </cell>
        </row>
        <row r="52">
          <cell r="B52">
            <v>4.256383486188291E-20</v>
          </cell>
          <cell r="C52">
            <v>2.2291856145489984E-43</v>
          </cell>
          <cell r="D52">
            <v>2.0666003901347835E-72</v>
          </cell>
        </row>
        <row r="53">
          <cell r="B53">
            <v>1.1785969101593514E-19</v>
          </cell>
          <cell r="C53">
            <v>7.11566424089232E-43</v>
          </cell>
          <cell r="D53">
            <v>7.6178082060712451E-72</v>
          </cell>
        </row>
        <row r="54">
          <cell r="B54">
            <v>3.2211017319022577E-19</v>
          </cell>
          <cell r="C54">
            <v>2.2550578244875431E-42</v>
          </cell>
          <cell r="D54">
            <v>2.7930987293299729E-71</v>
          </cell>
        </row>
        <row r="55">
          <cell r="B55">
            <v>8.688767554723214E-19</v>
          </cell>
          <cell r="C55">
            <v>7.0953355312429115E-42</v>
          </cell>
          <cell r="D55">
            <v>1.0186506487884985E-70</v>
          </cell>
        </row>
        <row r="56">
          <cell r="B56">
            <v>2.3132709876102186E-18</v>
          </cell>
          <cell r="C56">
            <v>2.2164667078176883E-41</v>
          </cell>
          <cell r="D56">
            <v>3.6952767615385097E-70</v>
          </cell>
        </row>
        <row r="57">
          <cell r="B57">
            <v>6.0786821872422289E-18</v>
          </cell>
          <cell r="C57">
            <v>6.8742054367607882E-41</v>
          </cell>
          <cell r="D57">
            <v>1.3333722165226804E-69</v>
          </cell>
        </row>
        <row r="58">
          <cell r="B58">
            <v>1.5765471318657311E-17</v>
          </cell>
          <cell r="C58">
            <v>2.1166878711526021E-40</v>
          </cell>
          <cell r="D58">
            <v>4.7856238266887313E-69</v>
          </cell>
        </row>
        <row r="59">
          <cell r="B59">
            <v>4.0357018544080117E-17</v>
          </cell>
          <cell r="C59">
            <v>6.4708920574300092E-40</v>
          </cell>
          <cell r="D59">
            <v>1.7084742608656208E-68</v>
          </cell>
        </row>
        <row r="60">
          <cell r="B60">
            <v>1.0196374647200615E-16</v>
          </cell>
          <cell r="C60">
            <v>1.9640136829396384E-39</v>
          </cell>
          <cell r="D60">
            <v>6.0668191434259998E-68</v>
          </cell>
        </row>
        <row r="61">
          <cell r="B61">
            <v>2.5426529629646361E-16</v>
          </cell>
          <cell r="C61">
            <v>5.9183123574217732E-39</v>
          </cell>
          <cell r="D61">
            <v>2.142872751936511E-67</v>
          </cell>
        </row>
        <row r="62">
          <cell r="B62">
            <v>6.2581070535072172E-16</v>
          </cell>
          <cell r="C62">
            <v>1.7706155581889107E-38</v>
          </cell>
          <cell r="D62">
            <v>7.528603797701266E-67</v>
          </cell>
        </row>
        <row r="63">
          <cell r="B63">
            <v>1.5202446426307436E-15</v>
          </cell>
          <cell r="C63">
            <v>5.2592484674469722E-38</v>
          </cell>
          <cell r="D63">
            <v>2.630965954488894E-66</v>
          </cell>
        </row>
        <row r="64">
          <cell r="B64">
            <v>3.64500870356814E-15</v>
          </cell>
          <cell r="C64">
            <v>1.5509440174468518E-37</v>
          </cell>
          <cell r="D64">
            <v>9.1453164950849313E-66</v>
          </cell>
        </row>
        <row r="65">
          <cell r="B65">
            <v>8.6257775152966046E-15</v>
          </cell>
          <cell r="C65">
            <v>4.5408961996302239E-37</v>
          </cell>
          <cell r="D65">
            <v>3.1620226560002244E-65</v>
          </cell>
        </row>
        <row r="66">
          <cell r="B66">
            <v>2.0147099404239856E-14</v>
          </cell>
          <cell r="C66">
            <v>1.3199578002736734E-36</v>
          </cell>
          <cell r="D66">
            <v>1.0874616261083559E-64</v>
          </cell>
        </row>
        <row r="67">
          <cell r="B67">
            <v>4.6445260249210975E-14</v>
          </cell>
          <cell r="C67">
            <v>3.8093558047265653E-36</v>
          </cell>
          <cell r="D67">
            <v>3.7200230418008732E-64</v>
          </cell>
        </row>
        <row r="68">
          <cell r="B68">
            <v>1.0567806843668021E-13</v>
          </cell>
          <cell r="C68">
            <v>1.0914806748789398E-35</v>
          </cell>
          <cell r="D68">
            <v>1.2657852919098873E-63</v>
          </cell>
        </row>
        <row r="69">
          <cell r="B69">
            <v>2.3732469271133159E-13</v>
          </cell>
          <cell r="C69">
            <v>3.1049426458560481E-35</v>
          </cell>
          <cell r="D69">
            <v>4.2840761899122915E-63</v>
          </cell>
        </row>
        <row r="70">
          <cell r="B70">
            <v>5.2603613988521411E-13</v>
          </cell>
          <cell r="C70">
            <v>8.7692839684836359E-35</v>
          </cell>
          <cell r="D70">
            <v>1.4422383937479153E-62</v>
          </cell>
        </row>
        <row r="71">
          <cell r="B71">
            <v>1.1508078923859814E-12</v>
          </cell>
          <cell r="C71">
            <v>2.4589387150930022E-34</v>
          </cell>
          <cell r="D71">
            <v>4.8294719207747482E-62</v>
          </cell>
        </row>
        <row r="72">
          <cell r="B72">
            <v>2.484875737616213E-12</v>
          </cell>
          <cell r="C72">
            <v>6.8454861431110057E-34</v>
          </cell>
          <cell r="D72">
            <v>1.6085885160154889E-61</v>
          </cell>
        </row>
        <row r="73">
          <cell r="B73">
            <v>5.2956724375741187E-12</v>
          </cell>
          <cell r="C73">
            <v>1.8920556516557817E-33</v>
          </cell>
          <cell r="D73">
            <v>5.3293348473851506E-61</v>
          </cell>
        </row>
        <row r="74">
          <cell r="B74">
            <v>1.1139152432347E-11</v>
          </cell>
          <cell r="C74">
            <v>5.1920221513012159E-33</v>
          </cell>
          <cell r="D74">
            <v>1.7562396526062522E-60</v>
          </cell>
        </row>
        <row r="75">
          <cell r="B75">
            <v>2.3125853732523113E-11</v>
          </cell>
          <cell r="C75">
            <v>1.4145300788141934E-32</v>
          </cell>
          <cell r="D75">
            <v>5.7567487399932811E-60</v>
          </cell>
        </row>
        <row r="76">
          <cell r="B76">
            <v>4.7386867030982636E-11</v>
          </cell>
          <cell r="C76">
            <v>3.8261399973363653E-32</v>
          </cell>
          <cell r="D76">
            <v>1.8769534268485262E-59</v>
          </cell>
        </row>
        <row r="77">
          <cell r="B77">
            <v>9.5836912246596916E-11</v>
          </cell>
          <cell r="C77">
            <v>1.0275016934708628E-31</v>
          </cell>
          <cell r="D77">
            <v>6.0871281424929127E-59</v>
          </cell>
        </row>
        <row r="78">
          <cell r="B78">
            <v>1.9130319516395673E-10</v>
          </cell>
          <cell r="C78">
            <v>2.739537538456824E-31</v>
          </cell>
          <cell r="D78">
            <v>1.9636049490756416E-58</v>
          </cell>
        </row>
        <row r="79">
          <cell r="B79">
            <v>3.7690007954797206E-10</v>
          </cell>
          <cell r="C79">
            <v>7.2517860881144045E-31</v>
          </cell>
          <cell r="D79">
            <v>6.3005508003221247E-58</v>
          </cell>
        </row>
        <row r="80">
          <cell r="B80">
            <v>7.3290018108330178E-10</v>
          </cell>
          <cell r="C80">
            <v>1.905836910785804E-30</v>
          </cell>
          <cell r="D80">
            <v>2.0108776305800734E-57</v>
          </cell>
        </row>
        <row r="81">
          <cell r="B81">
            <v>1.4066240007949101E-9</v>
          </cell>
          <cell r="C81">
            <v>4.9727829350727377E-30</v>
          </cell>
          <cell r="D81">
            <v>6.3837444635928542E-57</v>
          </cell>
        </row>
        <row r="82">
          <cell r="B82">
            <v>2.6645618909431068E-9</v>
          </cell>
          <cell r="C82">
            <v>1.2882088868178227E-29</v>
          </cell>
          <cell r="D82">
            <v>2.0158029263385874E-56</v>
          </cell>
        </row>
        <row r="83">
          <cell r="B83">
            <v>4.981821878636177E-9</v>
          </cell>
          <cell r="C83">
            <v>3.313188147179627E-29</v>
          </cell>
          <cell r="D83">
            <v>6.3314528099751078E-56</v>
          </cell>
        </row>
        <row r="84">
          <cell r="B84">
            <v>9.1931675082614271E-9</v>
          </cell>
          <cell r="C84">
            <v>8.4601668252948246E-29</v>
          </cell>
          <cell r="D84">
            <v>1.9780688466942328E-55</v>
          </cell>
        </row>
        <row r="85">
          <cell r="B85">
            <v>1.6743904788255703E-8</v>
          </cell>
          <cell r="C85">
            <v>2.1447899926813685E-28</v>
          </cell>
          <cell r="D85">
            <v>6.1469850636225781E-55</v>
          </cell>
        </row>
        <row r="86">
          <cell r="B86">
            <v>3.0099751672612222E-8</v>
          </cell>
          <cell r="C86">
            <v>5.3983823632094769E-28</v>
          </cell>
          <cell r="D86">
            <v>1.9000526634999639E-54</v>
          </cell>
        </row>
        <row r="87">
          <cell r="B87">
            <v>5.3405215754494684E-8</v>
          </cell>
          <cell r="C87">
            <v>1.3490111188441643E-27</v>
          </cell>
          <cell r="D87">
            <v>5.8418694147674058E-54</v>
          </cell>
        </row>
        <row r="88">
          <cell r="B88">
            <v>9.3523129252489339E-8</v>
          </cell>
          <cell r="C88">
            <v>3.3468822723435868E-27</v>
          </cell>
          <cell r="D88">
            <v>1.7865730443067957E-53</v>
          </cell>
        </row>
        <row r="89">
          <cell r="B89">
            <v>1.6164749543505766E-7</v>
          </cell>
          <cell r="C89">
            <v>8.2440072089688175E-27</v>
          </cell>
          <cell r="D89">
            <v>5.4346607012516155E-53</v>
          </cell>
        </row>
        <row r="90">
          <cell r="B90">
            <v>2.7576143148198354E-7</v>
          </cell>
          <cell r="C90">
            <v>2.0160871860776693E-26</v>
          </cell>
          <cell r="D90">
            <v>1.6443975431209327E-52</v>
          </cell>
        </row>
        <row r="91">
          <cell r="B91">
            <v>4.6431494660374571E-7</v>
          </cell>
          <cell r="C91">
            <v>4.8950065304600012E-26</v>
          </cell>
          <cell r="D91">
            <v>4.9490737895754122E-52</v>
          </cell>
        </row>
        <row r="92">
          <cell r="B92">
            <v>7.7162519173214834E-7</v>
          </cell>
          <cell r="C92">
            <v>1.1799680864738277E-25</v>
          </cell>
          <cell r="D92">
            <v>1.4815754218894308E-51</v>
          </cell>
        </row>
        <row r="93">
          <cell r="B93">
            <v>1.2656532135178412E-6</v>
          </cell>
          <cell r="C93">
            <v>2.8239712254953849E-25</v>
          </cell>
          <cell r="D93">
            <v>4.4117035968219694E-51</v>
          </cell>
        </row>
        <row r="94">
          <cell r="B94">
            <v>2.0489796678985807E-6</v>
          </cell>
          <cell r="C94">
            <v>6.7100119356304689E-25</v>
          </cell>
          <cell r="D94">
            <v>1.3066871306652229E-50</v>
          </cell>
        </row>
        <row r="95">
          <cell r="B95">
            <v>3.2739735474577423E-6</v>
          </cell>
          <cell r="C95">
            <v>1.5829213541295568E-24</v>
          </cell>
          <cell r="D95">
            <v>3.8496356466069319E-50</v>
          </cell>
        </row>
        <row r="96">
          <cell r="B96">
            <v>5.1632990317240367E-6</v>
          </cell>
          <cell r="C96">
            <v>3.7073910988280236E-24</v>
          </cell>
          <cell r="D96">
            <v>1.1281071876041198E-49</v>
          </cell>
        </row>
        <row r="97">
          <cell r="B97">
            <v>8.037000291913579E-6</v>
          </cell>
          <cell r="C97">
            <v>8.6208579212585566E-24</v>
          </cell>
          <cell r="D97">
            <v>3.2882424476432628E-49</v>
          </cell>
        </row>
        <row r="98">
          <cell r="B98">
            <v>1.2347393383076358E-5</v>
          </cell>
          <cell r="C98">
            <v>1.990240649098371E-23</v>
          </cell>
          <cell r="D98">
            <v>9.5336679602087837E-49</v>
          </cell>
        </row>
        <row r="99">
          <cell r="B99">
            <v>1.8722816464021627E-5</v>
          </cell>
          <cell r="C99">
            <v>4.5617734828092348E-23</v>
          </cell>
          <cell r="D99">
            <v>2.7494063978411316E-48</v>
          </cell>
        </row>
        <row r="100">
          <cell r="B100">
            <v>2.8020873513582308E-5</v>
          </cell>
          <cell r="C100">
            <v>1.0380896483666459E-22</v>
          </cell>
          <cell r="D100">
            <v>7.8867955283936121E-48</v>
          </cell>
        </row>
        <row r="101">
          <cell r="B101">
            <v>4.1391079570111477E-5</v>
          </cell>
          <cell r="C101">
            <v>2.3453573543979305E-22</v>
          </cell>
          <cell r="D101">
            <v>2.2503234713783892E-47</v>
          </cell>
        </row>
        <row r="102">
          <cell r="B102">
            <v>6.0345714336599745E-5</v>
          </cell>
          <cell r="C102">
            <v>5.2608534944640151E-22</v>
          </cell>
          <cell r="D102">
            <v>6.3866342299732816E-47</v>
          </cell>
        </row>
        <row r="103">
          <cell r="B103">
            <v>8.6836179107589254E-5</v>
          </cell>
          <cell r="C103">
            <v>1.1715920360712205E-21</v>
          </cell>
          <cell r="D103">
            <v>1.802942451049822E-46</v>
          </cell>
        </row>
        <row r="104">
          <cell r="B104">
            <v>1.2333023908099215E-4</v>
          </cell>
          <cell r="C104">
            <v>2.5904167158977928E-21</v>
          </cell>
          <cell r="D104">
            <v>5.0626092760706466E-46</v>
          </cell>
        </row>
        <row r="105">
          <cell r="B105">
            <v>1.7288329672386757E-4</v>
          </cell>
          <cell r="C105">
            <v>5.6863799744259796E-21</v>
          </cell>
          <cell r="D105">
            <v>1.414000888789073E-45</v>
          </cell>
        </row>
        <row r="106">
          <cell r="B106">
            <v>2.3919444649338702E-4</v>
          </cell>
          <cell r="C106">
            <v>1.2392962604202373E-20</v>
          </cell>
          <cell r="D106">
            <v>3.9283274363709304E-45</v>
          </cell>
        </row>
        <row r="107">
          <cell r="B107">
            <v>3.2663577042330006E-4</v>
          </cell>
          <cell r="C107">
            <v>2.6815593994355783E-20</v>
          </cell>
          <cell r="D107">
            <v>1.0855464309836431E-44</v>
          </cell>
        </row>
        <row r="108">
          <cell r="B108">
            <v>4.402415095158984E-4</v>
          </cell>
          <cell r="C108">
            <v>5.7606663676369386E-20</v>
          </cell>
          <cell r="D108">
            <v>2.9838147281941791E-44</v>
          </cell>
        </row>
        <row r="109">
          <cell r="B109">
            <v>5.8564282788708477E-4</v>
          </cell>
          <cell r="C109">
            <v>1.2286580921347893E-19</v>
          </cell>
          <cell r="D109">
            <v>8.1578934489362788E-44</v>
          </cell>
        </row>
        <row r="110">
          <cell r="B110">
            <v>7.6893435248707239E-4</v>
          </cell>
          <cell r="C110">
            <v>2.6017309713108111E-19</v>
          </cell>
          <cell r="D110">
            <v>2.2185382961492282E-43</v>
          </cell>
        </row>
        <row r="111">
          <cell r="B111">
            <v>9.9646097016772655E-4</v>
          </cell>
          <cell r="C111">
            <v>5.4697408214141522E-19</v>
          </cell>
          <cell r="D111">
            <v>6.0012063056476348E-43</v>
          </cell>
        </row>
        <row r="112">
          <cell r="B112">
            <v>1.274517832500369E-3</v>
          </cell>
          <cell r="C112">
            <v>1.1416793062739171E-18</v>
          </cell>
          <cell r="D112">
            <v>1.6147039580598279E-42</v>
          </cell>
        </row>
        <row r="113">
          <cell r="B113">
            <v>1.6089632862961595E-3</v>
          </cell>
          <cell r="C113">
            <v>2.3658898988606357E-18</v>
          </cell>
          <cell r="D113">
            <v>4.3214549367965464E-42</v>
          </cell>
        </row>
        <row r="114">
          <cell r="B114">
            <v>2.0047533457149161E-3</v>
          </cell>
          <cell r="C114">
            <v>4.8676343885519742E-18</v>
          </cell>
          <cell r="D114">
            <v>1.1504024376099296E-41</v>
          </cell>
        </row>
        <row r="115">
          <cell r="B115">
            <v>2.4654168166763999E-3</v>
          </cell>
          <cell r="C115">
            <v>9.9429302066441283E-18</v>
          </cell>
          <cell r="D115">
            <v>3.0461572841581738E-41</v>
          </cell>
        </row>
        <row r="116">
          <cell r="B116">
            <v>2.9925013536609194E-3</v>
          </cell>
          <cell r="C116">
            <v>2.0164332541267024E-17</v>
          </cell>
          <cell r="D116">
            <v>8.0230145561725584E-41</v>
          </cell>
        </row>
        <row r="117">
          <cell r="B117">
            <v>3.5850312985860017E-3</v>
          </cell>
          <cell r="C117">
            <v>4.0600027790535251E-17</v>
          </cell>
          <cell r="D117">
            <v>2.1018686004678595E-40</v>
          </cell>
        </row>
        <row r="118">
          <cell r="B118">
            <v>4.2390266029381464E-3</v>
          </cell>
          <cell r="C118">
            <v>8.1159961143506678E-17</v>
          </cell>
          <cell r="D118">
            <v>5.4771706270171634E-40</v>
          </cell>
        </row>
        <row r="119">
          <cell r="B119">
            <v>4.9471368831879407E-3</v>
          </cell>
          <cell r="C119">
            <v>1.6107581957746602E-16</v>
          </cell>
          <cell r="D119">
            <v>1.4196775163525085E-39</v>
          </cell>
        </row>
        <row r="120">
          <cell r="B120">
            <v>5.6984442872173337E-3</v>
          </cell>
          <cell r="C120">
            <v>3.1738901306705501E-16</v>
          </cell>
          <cell r="D120">
            <v>3.6602088284479333E-39</v>
          </cell>
        </row>
        <row r="121">
          <cell r="B121">
            <v>6.4784823602272602E-3</v>
          </cell>
          <cell r="C121">
            <v>6.2090684515020991E-16</v>
          </cell>
          <cell r="D121">
            <v>9.3865230264518997E-39</v>
          </cell>
        </row>
        <row r="122">
          <cell r="B122">
            <v>7.2695051587823231E-3</v>
          </cell>
          <cell r="C122">
            <v>1.2059631190094027E-15</v>
          </cell>
          <cell r="D122">
            <v>2.3943429796481106E-38</v>
          </cell>
        </row>
        <row r="123">
          <cell r="B123">
            <v>8.0510219753611063E-3</v>
          </cell>
          <cell r="C123">
            <v>2.3254907945254604E-15</v>
          </cell>
          <cell r="D123">
            <v>6.075061779451803E-38</v>
          </cell>
        </row>
        <row r="124">
          <cell r="B124">
            <v>8.8005896124690106E-3</v>
          </cell>
          <cell r="C124">
            <v>4.4521341597753893E-15</v>
          </cell>
          <cell r="D124">
            <v>1.5331962982898631E-37</v>
          </cell>
        </row>
        <row r="125">
          <cell r="B125">
            <v>9.4948284291922567E-3</v>
          </cell>
          <cell r="C125">
            <v>8.4624259351765917E-15</v>
          </cell>
          <cell r="D125">
            <v>3.8488195610892741E-37</v>
          </cell>
        </row>
        <row r="126">
          <cell r="B126">
            <v>1.0110603234667769E-2</v>
          </cell>
          <cell r="C126">
            <v>1.5969618387883787E-14</v>
          </cell>
          <cell r="D126">
            <v>9.6103690649912278E-37</v>
          </cell>
        </row>
        <row r="127">
          <cell r="B127">
            <v>1.0626288651273765E-2</v>
          </cell>
          <cell r="C127">
            <v>2.9920387630349038E-14</v>
          </cell>
          <cell r="D127">
            <v>2.3869059492847783E-36</v>
          </cell>
        </row>
        <row r="128">
          <cell r="B128">
            <v>1.1023023779147555E-2</v>
          </cell>
          <cell r="C128">
            <v>5.5656118217049863E-14</v>
          </cell>
          <cell r="D128">
            <v>5.896757575145024E-36</v>
          </cell>
        </row>
        <row r="129">
          <cell r="B129">
            <v>1.1285855208491633E-2</v>
          </cell>
          <cell r="C129">
            <v>1.0278544718899834E-13</v>
          </cell>
          <cell r="D129">
            <v>1.4490186198286898E-35</v>
          </cell>
        </row>
        <row r="130">
          <cell r="B130">
            <v>1.1404671978725679E-2</v>
          </cell>
          <cell r="C130">
            <v>1.8846181371349572E-13</v>
          </cell>
          <cell r="D130">
            <v>3.5417457756623727E-35</v>
          </cell>
        </row>
        <row r="131">
          <cell r="B131">
            <v>1.1374851026121003E-2</v>
          </cell>
          <cell r="C131">
            <v>3.4307425012417196E-13</v>
          </cell>
          <cell r="D131">
            <v>8.6108005295042051E-35</v>
          </cell>
        </row>
        <row r="132">
          <cell r="B132">
            <v>1.119755568618405E-2</v>
          </cell>
          <cell r="C132">
            <v>6.2004883936947312E-13</v>
          </cell>
          <cell r="D132">
            <v>2.0823436312965268E-34</v>
          </cell>
        </row>
        <row r="133">
          <cell r="B133">
            <v>1.0879660384002897E-2</v>
          </cell>
          <cell r="C133">
            <v>1.1125939520144555E-12</v>
          </cell>
          <cell r="D133">
            <v>5.0089188415898797E-34</v>
          </cell>
        </row>
        <row r="134">
          <cell r="B134">
            <v>1.0433308308390205E-2</v>
          </cell>
          <cell r="C134">
            <v>1.9820769473818827E-12</v>
          </cell>
          <cell r="D134">
            <v>1.1984455766907079E-33</v>
          </cell>
        </row>
        <row r="135">
          <cell r="B135">
            <v>9.8751417432161332E-3</v>
          </cell>
          <cell r="C135">
            <v>3.5057209656438315E-12</v>
          </cell>
          <cell r="D135">
            <v>2.8521697176101806E-33</v>
          </cell>
        </row>
        <row r="136">
          <cell r="B136">
            <v>9.2252730514609822E-3</v>
          </cell>
          <cell r="C136">
            <v>6.1561217607509803E-12</v>
          </cell>
          <cell r="D136">
            <v>6.7517311109654149E-33</v>
          </cell>
        </row>
        <row r="137">
          <cell r="B137">
            <v>8.5060849404284492E-3</v>
          </cell>
          <cell r="C137">
            <v>1.0732726834637185E-11</v>
          </cell>
          <cell r="D137">
            <v>1.5897822272069031E-32</v>
          </cell>
        </row>
        <row r="138">
          <cell r="B138">
            <v>7.7409595045280057E-3</v>
          </cell>
          <cell r="C138">
            <v>1.8577444421099536E-11</v>
          </cell>
          <cell r="D138">
            <v>3.723427164245239E-32</v>
          </cell>
        </row>
        <row r="139">
          <cell r="B139">
            <v>6.9530358776293778E-3</v>
          </cell>
          <cell r="C139">
            <v>3.1925292511369972E-11</v>
          </cell>
          <cell r="D139">
            <v>8.6742276141278246E-32</v>
          </cell>
        </row>
        <row r="140">
          <cell r="B140">
            <v>6.1640867151863182E-3</v>
          </cell>
          <cell r="C140">
            <v>5.4469930270578765E-11</v>
          </cell>
          <cell r="D140">
            <v>2.0100251477377361E-31</v>
          </cell>
        </row>
        <row r="141">
          <cell r="B141">
            <v>5.3935859450101814E-3</v>
          </cell>
          <cell r="C141">
            <v>9.2268141560831429E-11</v>
          </cell>
          <cell r="D141">
            <v>4.6329209906287616E-31</v>
          </cell>
        </row>
        <row r="142">
          <cell r="B142">
            <v>4.6580169200260216E-3</v>
          </cell>
          <cell r="C142">
            <v>1.5517428285961601E-10</v>
          </cell>
          <cell r="D142">
            <v>1.0621626421950317E-30</v>
          </cell>
        </row>
        <row r="143">
          <cell r="B143">
            <v>3.9704443613199063E-3</v>
          </cell>
          <cell r="C143">
            <v>2.5909601917942692E-10</v>
          </cell>
          <cell r="D143">
            <v>2.4221993161141661E-30</v>
          </cell>
        </row>
        <row r="144">
          <cell r="B144">
            <v>3.3403483654496401E-3</v>
          </cell>
          <cell r="C144">
            <v>4.2951145771787428E-10</v>
          </cell>
          <cell r="D144">
            <v>5.4942884689117436E-30</v>
          </cell>
        </row>
        <row r="145">
          <cell r="B145">
            <v>2.7736969156132662E-3</v>
          </cell>
          <cell r="C145">
            <v>7.069061933146134E-10</v>
          </cell>
          <cell r="D145">
            <v>1.2396405211462608E-29</v>
          </cell>
        </row>
        <row r="146">
          <cell r="B146">
            <v>2.2732167101426897E-3</v>
          </cell>
          <cell r="C146">
            <v>1.1551059989157659E-9</v>
          </cell>
          <cell r="D146">
            <v>2.7820363239947279E-29</v>
          </cell>
        </row>
        <row r="147">
          <cell r="B147">
            <v>1.8388117514760293E-3</v>
          </cell>
          <cell r="C147">
            <v>1.8739366788511768E-9</v>
          </cell>
          <cell r="D147">
            <v>6.2102996291331599E-29</v>
          </cell>
        </row>
        <row r="148">
          <cell r="B148">
            <v>1.468075178240915E-3</v>
          </cell>
          <cell r="C148">
            <v>3.0182902723112354E-9</v>
          </cell>
          <cell r="D148">
            <v>1.3789389469193864E-28</v>
          </cell>
        </row>
        <row r="149">
          <cell r="B149">
            <v>1.1568416481734897E-3</v>
          </cell>
          <cell r="C149">
            <v>4.8265867465032501E-9</v>
          </cell>
          <cell r="D149">
            <v>3.045511528280913E-28</v>
          </cell>
        </row>
        <row r="150">
          <cell r="B150">
            <v>8.997339946814159E-4</v>
          </cell>
          <cell r="C150">
            <v>7.6628839374828523E-9</v>
          </cell>
          <cell r="D150">
            <v>6.6904939667322443E-28</v>
          </cell>
        </row>
        <row r="151">
          <cell r="B151">
            <v>6.9066736975654944E-4</v>
          </cell>
          <cell r="C151">
            <v>1.2078622250306902E-8</v>
          </cell>
          <cell r="D151">
            <v>1.4619712926598854E-27</v>
          </cell>
        </row>
        <row r="152">
          <cell r="B152">
            <v>5.2328506725707043E-4</v>
          </cell>
          <cell r="C152">
            <v>1.8902339994057636E-8</v>
          </cell>
          <cell r="D152">
            <v>3.1776219896436266E-27</v>
          </cell>
        </row>
        <row r="153">
          <cell r="B153">
            <v>3.9131125497160447E-4</v>
          </cell>
          <cell r="C153">
            <v>2.9368837853210452E-8</v>
          </cell>
          <cell r="D153">
            <v>6.8698672557322201E-27</v>
          </cell>
        </row>
        <row r="154">
          <cell r="B154">
            <v>2.8881578895795088E-4</v>
          </cell>
          <cell r="C154">
            <v>4.5303418299274481E-8</v>
          </cell>
          <cell r="D154">
            <v>1.4773288684906694E-26</v>
          </cell>
        </row>
        <row r="155">
          <cell r="B155">
            <v>2.1039437191684165E-4</v>
          </cell>
          <cell r="C155">
            <v>6.9382221769502129E-8</v>
          </cell>
          <cell r="D155">
            <v>3.160012127627068E-26</v>
          </cell>
        </row>
        <row r="156">
          <cell r="B156">
            <v>1.5127316704347991E-4</v>
          </cell>
          <cell r="C156">
            <v>1.054965975377023E-7</v>
          </cell>
          <cell r="D156">
            <v>6.7233085119513247E-26</v>
          </cell>
        </row>
        <row r="157">
          <cell r="B157">
            <v>1.0735055028545603E-4</v>
          </cell>
          <cell r="C157">
            <v>1.5925817074727747E-7</v>
          </cell>
          <cell r="D157">
            <v>1.422853074992496E-25</v>
          </cell>
        </row>
        <row r="158">
          <cell r="B158">
            <v>7.5190200886651203E-5</v>
          </cell>
          <cell r="C158">
            <v>2.3869208212066695E-7</v>
          </cell>
          <cell r="D158">
            <v>2.9951584285002631E-25</v>
          </cell>
        </row>
        <row r="159">
          <cell r="B159">
            <v>5.1979585233859534E-5</v>
          </cell>
          <cell r="C159">
            <v>3.5517903454191249E-7</v>
          </cell>
          <cell r="D159">
            <v>6.2713677398071214E-25</v>
          </cell>
        </row>
        <row r="160">
          <cell r="B160">
            <v>3.5466551980459152E-5</v>
          </cell>
          <cell r="C160">
            <v>5.2472245724959633E-7</v>
          </cell>
          <cell r="D160">
            <v>1.3061331793246742E-24</v>
          </cell>
        </row>
        <row r="161">
          <cell r="B161">
            <v>2.3884696245508564E-5</v>
          </cell>
          <cell r="C161">
            <v>7.6963533887633635E-7</v>
          </cell>
          <cell r="D161">
            <v>2.7057980653863037E-24</v>
          </cell>
        </row>
        <row r="162">
          <cell r="B162">
            <v>1.5875779948697183E-5</v>
          </cell>
          <cell r="C162">
            <v>1.1207619276560501E-6</v>
          </cell>
          <cell r="D162">
            <v>5.5755283428404941E-24</v>
          </cell>
        </row>
        <row r="163">
          <cell r="B163">
            <v>1.0415137628089163E-5</v>
          </cell>
          <cell r="C163">
            <v>1.6203721048392115E-6</v>
          </cell>
          <cell r="D163">
            <v>1.1427714969644342E-23</v>
          </cell>
        </row>
        <row r="164">
          <cell r="B164">
            <v>6.7438755959347885E-6</v>
          </cell>
          <cell r="C164">
            <v>2.3258899727295898E-6</v>
          </cell>
          <cell r="D164">
            <v>2.3297831359631051E-23</v>
          </cell>
        </row>
        <row r="165">
          <cell r="B165">
            <v>4.3099147691916841E-6</v>
          </cell>
          <cell r="C165">
            <v>3.3146417360889374E-6</v>
          </cell>
          <cell r="D165">
            <v>4.7244833287454448E-23</v>
          </cell>
        </row>
        <row r="166">
          <cell r="B166">
            <v>2.7185818174867408E-6</v>
          </cell>
          <cell r="C166">
            <v>4.6898293720686069E-6</v>
          </cell>
          <cell r="D166">
            <v>9.5296262978834613E-23</v>
          </cell>
        </row>
        <row r="167">
          <cell r="B167">
            <v>1.692507993433176E-6</v>
          </cell>
          <cell r="C167">
            <v>6.5879532682875903E-6</v>
          </cell>
          <cell r="D167">
            <v>1.911965913665568E-22</v>
          </cell>
        </row>
        <row r="168">
          <cell r="B168">
            <v>1.0400007284824406E-6</v>
          </cell>
          <cell r="C168">
            <v>9.1879156009013748E-6</v>
          </cell>
          <cell r="D168">
            <v>3.8156378354101282E-22</v>
          </cell>
        </row>
        <row r="169">
          <cell r="B169">
            <v>6.3074113176279094E-7</v>
          </cell>
          <cell r="C169">
            <v>1.2722032603861644E-5</v>
          </cell>
          <cell r="D169">
            <v>7.5742018284163687E-22</v>
          </cell>
        </row>
        <row r="170">
          <cell r="B170">
            <v>3.7755763503071511E-7</v>
          </cell>
          <cell r="C170">
            <v>1.748916322805176E-5</v>
          </cell>
          <cell r="D170">
            <v>1.4955100170781249E-21</v>
          </cell>
        </row>
        <row r="171">
          <cell r="B171">
            <v>2.230642413239569E-7</v>
          </cell>
          <cell r="C171">
            <v>2.3870118646564392E-5</v>
          </cell>
          <cell r="D171">
            <v>2.9371390339780509E-21</v>
          </cell>
        </row>
        <row r="172">
          <cell r="B172">
            <v>1.3007422547793575E-7</v>
          </cell>
          <cell r="C172">
            <v>3.2345446012677985E-5</v>
          </cell>
          <cell r="D172">
            <v>5.7377604095192471E-21</v>
          </cell>
        </row>
        <row r="173">
          <cell r="B173">
            <v>7.4862984379874181E-8</v>
          </cell>
          <cell r="C173">
            <v>4.3515575361517008E-5</v>
          </cell>
          <cell r="D173">
            <v>1.1149182897810692E-20</v>
          </cell>
        </row>
        <row r="174">
          <cell r="B174">
            <v>4.2526301908875795E-8</v>
          </cell>
          <cell r="C174">
            <v>5.8123175830974793E-5</v>
          </cell>
          <cell r="D174">
            <v>2.1548964029112562E-20</v>
          </cell>
        </row>
        <row r="175">
          <cell r="B175">
            <v>2.3843098588587484E-8</v>
          </cell>
          <cell r="C175">
            <v>7.7077383161678798E-5</v>
          </cell>
          <cell r="D175">
            <v>4.1427857938161335E-20</v>
          </cell>
        </row>
        <row r="176">
          <cell r="B176">
            <v>1.3194178812637685E-8</v>
          </cell>
          <cell r="C176">
            <v>1.0147933368108313E-4</v>
          </cell>
          <cell r="D176">
            <v>7.9221176236049522E-20</v>
          </cell>
        </row>
        <row r="177">
          <cell r="B177">
            <v>7.2063712349932556E-9</v>
          </cell>
          <cell r="C177">
            <v>1.32648172809682E-4</v>
          </cell>
          <cell r="D177">
            <v>1.5068597070627647E-19</v>
          </cell>
        </row>
        <row r="178">
          <cell r="B178">
            <v>3.8847716071448541E-9</v>
          </cell>
          <cell r="C178">
            <v>1.7214640474566862E-4</v>
          </cell>
          <cell r="D178">
            <v>2.8509334516474798E-19</v>
          </cell>
        </row>
        <row r="179">
          <cell r="B179">
            <v>2.0669451182956369E-9</v>
          </cell>
          <cell r="C179">
            <v>2.2180312547110165E-4</v>
          </cell>
          <cell r="D179">
            <v>5.3651771391271481E-19</v>
          </cell>
        </row>
        <row r="180">
          <cell r="B180">
            <v>1.0854429301550547E-9</v>
          </cell>
          <cell r="C180">
            <v>2.8373335014881949E-4</v>
          </cell>
          <cell r="D180">
            <v>1.0043007264240777E-18</v>
          </cell>
        </row>
        <row r="181">
          <cell r="B181">
            <v>5.6259988324897942E-10</v>
          </cell>
          <cell r="C181">
            <v>3.6035133066296079E-4</v>
          </cell>
          <cell r="D181">
            <v>1.869933723916721E-18</v>
          </cell>
        </row>
        <row r="182">
          <cell r="B182">
            <v>2.8781066014090717E-10</v>
          </cell>
          <cell r="C182">
            <v>4.5437548733935786E-4</v>
          </cell>
          <cell r="D182">
            <v>3.4631505950281557E-18</v>
          </cell>
        </row>
        <row r="183">
          <cell r="B183">
            <v>1.4532111052126475E-10</v>
          </cell>
          <cell r="C183">
            <v>5.688223833033131E-4</v>
          </cell>
          <cell r="D183">
            <v>6.3796854479669506E-18</v>
          </cell>
        </row>
        <row r="184">
          <cell r="B184">
            <v>7.2421102984791836E-11</v>
          </cell>
          <cell r="C184">
            <v>7.0698708619483866E-4</v>
          </cell>
          <cell r="D184">
            <v>1.1689875372534014E-17</v>
          </cell>
        </row>
        <row r="185">
          <cell r="B185">
            <v>3.5621824223844491E-11</v>
          </cell>
          <cell r="C185">
            <v>8.7240732666066581E-4</v>
          </cell>
          <cell r="D185">
            <v>2.1306063734770157E-17</v>
          </cell>
        </row>
        <row r="186">
          <cell r="B186">
            <v>1.7293455159724127E-11</v>
          </cell>
          <cell r="C186">
            <v>1.0688091106750288E-3</v>
          </cell>
          <cell r="D186">
            <v>3.8625960177899417E-17</v>
          </cell>
        </row>
        <row r="187">
          <cell r="B187">
            <v>8.2863253749489754E-12</v>
          </cell>
          <cell r="C187">
            <v>1.3000319021172493E-3</v>
          </cell>
          <cell r="D187">
            <v>6.9652720029532005E-17</v>
          </cell>
        </row>
        <row r="188">
          <cell r="B188">
            <v>3.9188332782807409E-12</v>
          </cell>
          <cell r="C188">
            <v>1.5699321823018748E-3</v>
          </cell>
          <cell r="D188">
            <v>1.249336991528999E-16</v>
          </cell>
        </row>
        <row r="189">
          <cell r="B189">
            <v>1.8292210343150868E-12</v>
          </cell>
          <cell r="C189">
            <v>1.882265119759055E-3</v>
          </cell>
          <cell r="D189">
            <v>2.2289680498445803E-16</v>
          </cell>
        </row>
        <row r="190">
          <cell r="B190">
            <v>8.427333493902238E-13</v>
          </cell>
          <cell r="C190">
            <v>2.2405452345168717E-3</v>
          </cell>
          <cell r="D190">
            <v>3.9555858380769464E-16</v>
          </cell>
        </row>
        <row r="191">
          <cell r="B191">
            <v>3.8320288394213349E-13</v>
          </cell>
          <cell r="C191">
            <v>2.6478882841060158E-3</v>
          </cell>
          <cell r="D191">
            <v>6.9823322278676033E-16</v>
          </cell>
        </row>
        <row r="192">
          <cell r="B192">
            <v>1.7198158680201284E-13</v>
          </cell>
          <cell r="C192">
            <v>3.106838079130576E-3</v>
          </cell>
          <cell r="D192">
            <v>1.2259504883520181E-15</v>
          </cell>
        </row>
        <row r="193">
          <cell r="B193">
            <v>7.6181536731749759E-14</v>
          </cell>
          <cell r="C193">
            <v>3.6191834781898031E-3</v>
          </cell>
          <cell r="D193">
            <v>2.1410562564803362E-15</v>
          </cell>
        </row>
        <row r="194">
          <cell r="B194">
            <v>3.3306738000313701E-14</v>
          </cell>
          <cell r="C194">
            <v>4.1857723189917496E-3</v>
          </cell>
          <cell r="D194">
            <v>3.7193406101346137E-15</v>
          </cell>
        </row>
        <row r="195">
          <cell r="B195">
            <v>1.4372392436974817E-14</v>
          </cell>
          <cell r="C195">
            <v>4.8063304029838713E-3</v>
          </cell>
          <cell r="D195">
            <v>6.4266781575756278E-15</v>
          </cell>
        </row>
        <row r="196">
          <cell r="B196">
            <v>6.1212571998366594E-15</v>
          </cell>
          <cell r="C196">
            <v>5.4792947442143611E-3</v>
          </cell>
          <cell r="D196">
            <v>1.1045614362500364E-14</v>
          </cell>
        </row>
        <row r="197">
          <cell r="B197">
            <v>2.5731599494971688E-15</v>
          </cell>
          <cell r="C197">
            <v>6.2016709987362424E-3</v>
          </cell>
          <cell r="D197">
            <v>1.8883214550125648E-14</v>
          </cell>
        </row>
        <row r="198">
          <cell r="B198">
            <v>1.0675974624895806E-15</v>
          </cell>
          <cell r="C198">
            <v>6.9689251979784582E-3</v>
          </cell>
          <cell r="D198">
            <v>3.2110325241396511E-14</v>
          </cell>
        </row>
        <row r="199">
          <cell r="B199">
            <v>4.3718260860152554E-16</v>
          </cell>
          <cell r="C199">
            <v>7.7749195283549353E-3</v>
          </cell>
          <cell r="D199">
            <v>5.4312051474095207E-14</v>
          </cell>
        </row>
        <row r="200">
          <cell r="B200">
            <v>1.7669848090628691E-16</v>
          </cell>
          <cell r="C200">
            <v>8.6119008717967481E-3</v>
          </cell>
          <cell r="D200">
            <v>9.1375640861547647E-14</v>
          </cell>
        </row>
        <row r="201">
          <cell r="B201">
            <v>7.0488350716006742E-17</v>
          </cell>
          <cell r="C201">
            <v>9.4705491307066104E-3</v>
          </cell>
          <cell r="D201">
            <v>1.529140497982773E-13</v>
          </cell>
        </row>
        <row r="202">
          <cell r="B202">
            <v>2.7753418004673877E-17</v>
          </cell>
          <cell r="C202">
            <v>1.0340090036842926E-2</v>
          </cell>
          <cell r="D202">
            <v>2.5453474329532555E-13</v>
          </cell>
        </row>
        <row r="203">
          <cell r="B203">
            <v>1.0785249567625468E-17</v>
          </cell>
          <cell r="C203">
            <v>1.1208474269129638E-2</v>
          </cell>
          <cell r="D203">
            <v>4.2143390946590938E-13</v>
          </cell>
        </row>
        <row r="204">
          <cell r="B204">
            <v>4.1367427621057401E-18</v>
          </cell>
          <cell r="C204">
            <v>1.2062621413453817E-2</v>
          </cell>
          <cell r="D204">
            <v>6.9405615345737209E-13</v>
          </cell>
        </row>
        <row r="205">
          <cell r="B205">
            <v>1.56603486595868E-18</v>
          </cell>
          <cell r="C205">
            <v>1.2888723766729558E-2</v>
          </cell>
          <cell r="D205">
            <v>1.1369528821317321E-12</v>
          </cell>
        </row>
        <row r="206">
          <cell r="B206">
            <v>5.8513884830624067E-19</v>
          </cell>
          <cell r="C206">
            <v>1.3672601431953041E-2</v>
          </cell>
          <cell r="D206">
            <v>1.852563276352201E-12</v>
          </cell>
        </row>
        <row r="207">
          <cell r="B207">
            <v>2.1578985974456567E-19</v>
          </cell>
          <cell r="C207">
            <v>1.4400096806100908E-2</v>
          </cell>
          <cell r="D207">
            <v>3.0025231208549561E-12</v>
          </cell>
        </row>
        <row r="208">
          <cell r="B208">
            <v>7.8544852307402751E-20</v>
          </cell>
          <cell r="C208">
            <v>1.5057493668038557E-2</v>
          </cell>
          <cell r="D208">
            <v>4.8404127459591778E-12</v>
          </cell>
        </row>
        <row r="209">
          <cell r="B209">
            <v>2.8217531371703705E-20</v>
          </cell>
          <cell r="C209">
            <v>1.5631943853543169E-2</v>
          </cell>
          <cell r="D209">
            <v>7.7617769314943904E-12</v>
          </cell>
        </row>
        <row r="210">
          <cell r="B210">
            <v>1.0005410239967191E-20</v>
          </cell>
          <cell r="C210">
            <v>1.6111883149238823E-2</v>
          </cell>
          <cell r="D210">
            <v>1.238005700592073E-11</v>
          </cell>
        </row>
        <row r="211">
          <cell r="B211">
            <v>3.5015906853457272E-21</v>
          </cell>
          <cell r="C211">
            <v>1.6487417684983661E-2</v>
          </cell>
          <cell r="D211">
            <v>1.9641147520806322E-11</v>
          </cell>
        </row>
        <row r="212">
          <cell r="B212">
            <v>1.2095127504016023E-21</v>
          </cell>
          <cell r="C212">
            <v>1.675066282746147E-2</v>
          </cell>
          <cell r="D212">
            <v>3.099515385799204E-11</v>
          </cell>
        </row>
        <row r="213">
          <cell r="B213">
            <v>4.1235391104801729E-22</v>
          </cell>
          <cell r="C213">
            <v>1.6896018373926843E-2</v>
          </cell>
          <cell r="D213">
            <v>4.8652309554228869E-11</v>
          </cell>
        </row>
        <row r="214">
          <cell r="B214">
            <v>1.387536382878568E-22</v>
          </cell>
          <cell r="C214">
            <v>1.6920366633924662E-2</v>
          </cell>
          <cell r="D214">
            <v>7.5961905767306407E-11</v>
          </cell>
        </row>
        <row r="215">
          <cell r="B215">
            <v>4.6082203320914356E-23</v>
          </cell>
          <cell r="C215">
            <v>1.6823183613937115E-2</v>
          </cell>
          <cell r="D215">
            <v>1.1796983405624769E-10</v>
          </cell>
        </row>
        <row r="216">
          <cell r="B216">
            <v>1.510555499428756E-23</v>
          </cell>
          <cell r="C216">
            <v>1.6606557767023071E-2</v>
          </cell>
          <cell r="D216">
            <v>1.8223374947112011E-10</v>
          </cell>
        </row>
        <row r="217">
          <cell r="B217">
            <v>4.887139450292514E-24</v>
          </cell>
          <cell r="C217">
            <v>1.6275115370427907E-2</v>
          </cell>
          <cell r="D217">
            <v>2.8000731629845511E-10</v>
          </cell>
        </row>
        <row r="218">
          <cell r="B218">
            <v>1.5605847942089712E-24</v>
          </cell>
          <cell r="C218">
            <v>1.58358562551193E-2</v>
          </cell>
          <cell r="D218">
            <v>4.279496477708778E-10</v>
          </cell>
        </row>
        <row r="219">
          <cell r="B219">
            <v>4.9185218500786518E-25</v>
          </cell>
          <cell r="C219">
            <v>1.529790803381346E-2</v>
          </cell>
          <cell r="D219">
            <v>6.5057698161756837E-10</v>
          </cell>
        </row>
        <row r="220">
          <cell r="B220">
            <v>1.5300176246384725E-25</v>
          </cell>
          <cell r="C220">
            <v>1.467221087846869E-2</v>
          </cell>
          <cell r="D220">
            <v>9.8375610169278513E-10</v>
          </cell>
        </row>
        <row r="221">
          <cell r="B221">
            <v>4.6975656327333692E-26</v>
          </cell>
          <cell r="C221">
            <v>1.3971148044801327E-2</v>
          </cell>
          <cell r="D221">
            <v>1.4796497011405117E-9</v>
          </cell>
        </row>
        <row r="222">
          <cell r="B222">
            <v>1.423520986371922E-26</v>
          </cell>
          <cell r="C222">
            <v>1.320813954858849E-2</v>
          </cell>
          <cell r="D222">
            <v>2.2136711663698599E-9</v>
          </cell>
        </row>
        <row r="223">
          <cell r="B223">
            <v>4.2576453801986078E-27</v>
          </cell>
          <cell r="C223">
            <v>1.2397217555589368E-2</v>
          </cell>
          <cell r="D223">
            <v>3.2942005223351978E-9</v>
          </cell>
        </row>
        <row r="224">
          <cell r="B224">
            <v>1.2568680679750442E-27</v>
          </cell>
          <cell r="C224">
            <v>1.1552602120211277E-2</v>
          </cell>
          <cell r="D224">
            <v>4.8760671857292965E-9</v>
          </cell>
        </row>
        <row r="225">
          <cell r="B225">
            <v>3.6620518888458137E-28</v>
          </cell>
          <cell r="C225">
            <v>1.0688294940785811E-2</v>
          </cell>
          <cell r="D225">
            <v>7.179133942422807E-9</v>
          </cell>
        </row>
        <row r="226">
          <cell r="B226">
            <v>1.0531103696766154E-28</v>
          </cell>
          <cell r="C226">
            <v>9.8177069048844701E-3</v>
          </cell>
          <cell r="D226">
            <v>1.051373816503517E-8</v>
          </cell>
        </row>
        <row r="227">
          <cell r="B227">
            <v>2.9890823431904879E-29</v>
          </cell>
          <cell r="C227">
            <v>8.9533325478346436E-3</v>
          </cell>
          <cell r="D227">
            <v>1.5315281509581214E-8</v>
          </cell>
        </row>
        <row r="228">
          <cell r="B228">
            <v>8.3736819915919727E-30</v>
          </cell>
          <cell r="C228">
            <v>8.1064813544642414E-3</v>
          </cell>
          <cell r="D228">
            <v>2.2190931696984821E-8</v>
          </cell>
        </row>
        <row r="229">
          <cell r="B229">
            <v>2.3153126391851742E-30</v>
          </cell>
          <cell r="C229">
            <v>7.2870723339260451E-3</v>
          </cell>
          <cell r="D229">
            <v>3.1982235381221889E-8</v>
          </cell>
        </row>
        <row r="230">
          <cell r="B230">
            <v>6.3185498474942803E-31</v>
          </cell>
          <cell r="C230">
            <v>6.5034947295187408E-3</v>
          </cell>
          <cell r="D230">
            <v>4.5848467064096884E-8</v>
          </cell>
        </row>
        <row r="231">
          <cell r="B231">
            <v>1.7019225161308546E-31</v>
          </cell>
          <cell r="C231">
            <v>5.7625343142589554E-3</v>
          </cell>
          <cell r="D231">
            <v>6.5376783537036899E-8</v>
          </cell>
        </row>
        <row r="232">
          <cell r="B232">
            <v>4.5245641114705344E-32</v>
          </cell>
          <cell r="C232">
            <v>5.0693616627895633E-3</v>
          </cell>
          <cell r="D232">
            <v>9.2726743117236323E-8</v>
          </cell>
        </row>
        <row r="233">
          <cell r="B233">
            <v>1.187212070067274E-32</v>
          </cell>
          <cell r="C233">
            <v>4.4275762332261605E-3</v>
          </cell>
          <cell r="D233">
            <v>1.3081850694571081E-7</v>
          </cell>
        </row>
        <row r="234">
          <cell r="B234">
            <v>3.0746412872309925E-33</v>
          </cell>
          <cell r="C234">
            <v>3.8392981416929478E-3</v>
          </cell>
          <cell r="D234">
            <v>1.8357608174433929E-7</v>
          </cell>
        </row>
        <row r="235">
          <cell r="B235">
            <v>7.8591431743390285E-34</v>
          </cell>
          <cell r="C235">
            <v>3.3052982187711535E-3</v>
          </cell>
          <cell r="D235">
            <v>2.5623929440220868E-7</v>
          </cell>
        </row>
        <row r="236">
          <cell r="B236">
            <v>1.9827617901748202E-34</v>
          </cell>
          <cell r="C236">
            <v>2.8251563022301282E-3</v>
          </cell>
          <cell r="D236">
            <v>3.557607969762901E-7</v>
          </cell>
        </row>
        <row r="237">
          <cell r="B237">
            <v>4.9371972213879779E-35</v>
          </cell>
          <cell r="C237">
            <v>2.3974377014512834E-3</v>
          </cell>
          <cell r="D237">
            <v>4.9130725218823603E-7</v>
          </cell>
        </row>
        <row r="238">
          <cell r="B238">
            <v>1.2134028349428587E-35</v>
          </cell>
          <cell r="C238">
            <v>2.0198782875181054E-3</v>
          </cell>
          <cell r="D238">
            <v>6.7488688110221913E-7</v>
          </cell>
        </row>
        <row r="239">
          <cell r="B239">
            <v>2.94336505306744E-36</v>
          </cell>
          <cell r="C239">
            <v>1.6895696153813205E-3</v>
          </cell>
          <cell r="D239">
            <v>9.2212866653370799E-7</v>
          </cell>
        </row>
        <row r="240">
          <cell r="B240">
            <v>7.0468957628675693E-37</v>
          </cell>
          <cell r="C240">
            <v>1.4031367528399799E-3</v>
          </cell>
          <cell r="D240">
            <v>1.2532415536743867E-6</v>
          </cell>
        </row>
        <row r="241">
          <cell r="B241">
            <v>1.665199072586361E-37</v>
          </cell>
          <cell r="C241">
            <v>1.1569029535761328E-3</v>
          </cell>
          <cell r="D241">
            <v>1.6941847775174198E-6</v>
          </cell>
        </row>
        <row r="242">
          <cell r="B242">
            <v>3.8837303388107293E-38</v>
          </cell>
          <cell r="C242">
            <v>9.4703685200236856E-4</v>
          </cell>
          <cell r="D242">
            <v>2.2780827209678205E-6</v>
          </cell>
        </row>
        <row r="243">
          <cell r="B243">
            <v>8.9401863116927363E-39</v>
          </cell>
          <cell r="C243">
            <v>7.6967937317599965E-4</v>
          </cell>
          <cell r="D243">
            <v>3.0469191516033679E-6</v>
          </cell>
        </row>
        <row r="244">
          <cell r="B244">
            <v>2.0312279591324839E-39</v>
          </cell>
          <cell r="C244">
            <v>6.2104895684005242E-4</v>
          </cell>
          <cell r="D244">
            <v>4.0535459186398209E-6</v>
          </cell>
        </row>
        <row r="245">
          <cell r="B245">
            <v>4.5549682763693801E-40</v>
          </cell>
          <cell r="C245">
            <v>4.9752492750394295E-4</v>
          </cell>
          <cell r="D245">
            <v>5.364039773473632E-6</v>
          </cell>
        </row>
        <row r="246">
          <cell r="B246">
            <v>1.0081534529304413E-40</v>
          </cell>
          <cell r="C246">
            <v>3.9570986134301411E-4</v>
          </cell>
          <cell r="D246">
            <v>7.0604374133227037E-6</v>
          </cell>
        </row>
        <row r="247">
          <cell r="B247">
            <v>2.20233064373795E-41</v>
          </cell>
          <cell r="C247">
            <v>3.1247258574310116E-4</v>
          </cell>
          <cell r="D247">
            <v>9.2438726066246593E-6</v>
          </cell>
        </row>
        <row r="248">
          <cell r="B248">
            <v>4.7484623183049361E-42</v>
          </cell>
          <cell r="C248">
            <v>2.4497399742962853E-4</v>
          </cell>
          <cell r="D248">
            <v>1.2038129795367746E-5</v>
          </cell>
        </row>
        <row r="249">
          <cell r="B249">
            <v>1.0105040646329027E-42</v>
          </cell>
          <cell r="C249">
            <v>1.9067821444314925E-4</v>
          </cell>
          <cell r="D249">
            <v>1.5593615355500697E-5</v>
          </cell>
        </row>
        <row r="250">
          <cell r="B250">
            <v>2.1224512703876471E-43</v>
          </cell>
          <cell r="C250">
            <v>1.4735171118896806E-4</v>
          </cell>
          <cell r="D250">
            <v>2.0091730262933668E-5</v>
          </cell>
        </row>
        <row r="251">
          <cell r="B251">
            <v>4.3999930020056662E-44</v>
          </cell>
          <cell r="C251">
            <v>1.130530570776047E-4</v>
          </cell>
          <cell r="D251">
            <v>2.5749605899311806E-5</v>
          </cell>
        </row>
        <row r="252">
          <cell r="B252">
            <v>9.0028670761126388E-45</v>
          </cell>
          <cell r="C252">
            <v>8.6115724037333206E-5</v>
          </cell>
          <cell r="D252">
            <v>3.2825137945507906E-5</v>
          </cell>
        </row>
        <row r="253">
          <cell r="B253">
            <v>1.818127286349891E-45</v>
          </cell>
          <cell r="C253">
            <v>6.5126182794516597E-5</v>
          </cell>
          <cell r="D253">
            <v>4.1622221788912623E-5</v>
          </cell>
        </row>
        <row r="254">
          <cell r="B254">
            <v>3.6239510756702084E-46</v>
          </cell>
          <cell r="C254">
            <v>4.8899206311202437E-5</v>
          </cell>
          <cell r="D254">
            <v>5.2496056946876922E-5</v>
          </cell>
        </row>
        <row r="255">
          <cell r="B255">
            <v>7.1294325016708771E-47</v>
          </cell>
          <cell r="C255">
            <v>3.6451971000098015E-5</v>
          </cell>
          <cell r="D255">
            <v>6.5858348377335232E-5</v>
          </cell>
        </row>
        <row r="256">
          <cell r="B256">
            <v>1.3843381639768302E-47</v>
          </cell>
          <cell r="C256">
            <v>2.6978216890461735E-5</v>
          </cell>
          <cell r="D256">
            <v>8.2182190319822653E-5</v>
          </cell>
        </row>
        <row r="257">
          <cell r="B257">
            <v>2.6530413356701276E-48</v>
          </cell>
          <cell r="C257">
            <v>1.9823415657298067E-5</v>
          </cell>
          <cell r="D257">
            <v>1.0200637505595285E-4</v>
          </cell>
        </row>
        <row r="258">
          <cell r="B258">
            <v>5.0183440866326138E-49</v>
          </cell>
          <cell r="C258">
            <v>1.4461613572571927E-5</v>
          </cell>
          <cell r="D258">
            <v>1.2593882674802792E-4</v>
          </cell>
        </row>
        <row r="259">
          <cell r="B259">
            <v>9.3689613944371671E-50</v>
          </cell>
          <cell r="C259">
            <v>1.047437305413907E-5</v>
          </cell>
          <cell r="D259">
            <v>1.5465882182992121E-4</v>
          </cell>
        </row>
        <row r="260">
          <cell r="B260">
            <v>1.7263826294604612E-50</v>
          </cell>
          <cell r="C260">
            <v>7.5320352247645878E-6</v>
          </cell>
          <cell r="D260">
            <v>1.8891762523634168E-4</v>
          </cell>
        </row>
        <row r="261">
          <cell r="B261">
            <v>3.1397658407869456E-51</v>
          </cell>
          <cell r="C261">
            <v>5.3773668670565934E-6</v>
          </cell>
          <cell r="D261">
            <v>2.2953714935919071E-4</v>
          </cell>
        </row>
        <row r="262">
          <cell r="B262">
            <v>5.6360139238328966E-52</v>
          </cell>
          <cell r="C262">
            <v>3.8115358697647647E-6</v>
          </cell>
          <cell r="D262">
            <v>2.7740623352037074E-4</v>
          </cell>
        </row>
        <row r="263">
          <cell r="B263">
            <v>9.9853076237870629E-53</v>
          </cell>
          <cell r="C263">
            <v>2.6822754535586974E-6</v>
          </cell>
          <cell r="D263">
            <v>3.3347414949316665E-4</v>
          </cell>
        </row>
        <row r="264">
          <cell r="B264">
            <v>1.7460852156687308E-53</v>
          </cell>
          <cell r="C264">
            <v>1.8740438951977895E-6</v>
          </cell>
          <cell r="D264">
            <v>3.987409665496653E-4</v>
          </cell>
        </row>
        <row r="265">
          <cell r="B265">
            <v>3.0135889568103692E-54</v>
          </cell>
          <cell r="C265">
            <v>1.2999575256997996E-6</v>
          </cell>
          <cell r="D265">
            <v>4.7424446057897879E-4</v>
          </cell>
        </row>
        <row r="266">
          <cell r="B266">
            <v>5.1335428427975216E-55</v>
          </cell>
          <cell r="C266">
            <v>8.9526495795184879E-7</v>
          </cell>
          <cell r="D266">
            <v>5.6104332820555269E-4</v>
          </cell>
        </row>
        <row r="267">
          <cell r="B267">
            <v>8.6310763911765265E-56</v>
          </cell>
          <cell r="C267">
            <v>6.1213474219143205E-7</v>
          </cell>
          <cell r="D267">
            <v>6.6019656971648898E-4</v>
          </cell>
        </row>
        <row r="268">
          <cell r="B268">
            <v>1.4322780111500781E-56</v>
          </cell>
          <cell r="C268">
            <v>4.1554254158947467E-7</v>
          </cell>
          <cell r="D268">
            <v>7.7273903385934625E-4</v>
          </cell>
        </row>
        <row r="269">
          <cell r="B269">
            <v>2.3458718460232833E-57</v>
          </cell>
          <cell r="C269">
            <v>2.8006379814842346E-7</v>
          </cell>
          <cell r="D269">
            <v>8.9965327152525404E-4</v>
          </cell>
        </row>
        <row r="270">
          <cell r="B270">
            <v>3.7922401867230695E-58</v>
          </cell>
          <cell r="C270">
            <v>1.8740081557340048E-7</v>
          </cell>
          <cell r="D270">
            <v>1.0418380205741201E-3</v>
          </cell>
        </row>
        <row r="271">
          <cell r="B271">
            <v>6.0506493291157239E-59</v>
          </cell>
          <cell r="C271">
            <v>1.2449703219599921E-7</v>
          </cell>
          <cell r="D271">
            <v>1.2000738353303262E-3</v>
          </cell>
        </row>
        <row r="272">
          <cell r="B272">
            <v>9.5284602328184638E-60</v>
          </cell>
          <cell r="C272">
            <v>8.2114440958554918E-8</v>
          </cell>
          <cell r="D272">
            <v>1.3749865744749996E-3</v>
          </cell>
        </row>
        <row r="273">
          <cell r="B273">
            <v>1.481010243363152E-60</v>
          </cell>
          <cell r="C273">
            <v>5.3771617679376739E-8</v>
          </cell>
          <cell r="D273">
            <v>1.5670096613649544E-3</v>
          </cell>
        </row>
        <row r="274">
          <cell r="B274">
            <v>2.2719982542905875E-61</v>
          </cell>
          <cell r="C274">
            <v>3.4959054919814994E-8</v>
          </cell>
          <cell r="D274">
            <v>1.7763462209514837E-3</v>
          </cell>
        </row>
        <row r="275">
          <cell r="B275">
            <v>3.4401114986127431E-62</v>
          </cell>
          <cell r="C275">
            <v>2.2565205061701734E-8</v>
          </cell>
          <cell r="D275">
            <v>2.0029323661503715E-3</v>
          </cell>
        </row>
        <row r="276">
          <cell r="B276">
            <v>5.1410477649804436E-63</v>
          </cell>
          <cell r="C276">
            <v>1.4460786205946361E-8</v>
          </cell>
          <cell r="D276">
            <v>2.2464030419335822E-3</v>
          </cell>
        </row>
        <row r="277">
          <cell r="B277">
            <v>7.5830750349183185E-64</v>
          </cell>
          <cell r="C277">
            <v>9.2006295747013495E-9</v>
          </cell>
          <cell r="D277">
            <v>2.5060619259508238E-3</v>
          </cell>
        </row>
        <row r="278">
          <cell r="B278">
            <v>1.1039608250290963E-64</v>
          </cell>
          <cell r="C278">
            <v>5.8118742142477565E-9</v>
          </cell>
          <cell r="D278">
            <v>2.7808569194417818E-3</v>
          </cell>
        </row>
        <row r="279">
          <cell r="B279">
            <v>1.586268009519811E-65</v>
          </cell>
          <cell r="C279">
            <v>3.6449190410734035E-9</v>
          </cell>
          <cell r="D279">
            <v>3.069362732569888E-3</v>
          </cell>
        </row>
        <row r="280">
          <cell r="B280">
            <v>2.2496453788129442E-66</v>
          </cell>
          <cell r="C280">
            <v>2.2695125377845449E-9</v>
          </cell>
          <cell r="D280">
            <v>3.3697719675829158E-3</v>
          </cell>
        </row>
        <row r="281">
          <cell r="B281">
            <v>3.1489528382913694E-67</v>
          </cell>
          <cell r="C281">
            <v>1.4029762070881424E-9</v>
          </cell>
          <cell r="D281">
            <v>3.6798959280644789E-3</v>
          </cell>
        </row>
        <row r="282">
          <cell r="B282">
            <v>4.3504365927352141E-68</v>
          </cell>
          <cell r="C282">
            <v>8.6107512883844704E-10</v>
          </cell>
          <cell r="D282">
            <v>3.997176133437948E-3</v>
          </cell>
        </row>
        <row r="283">
          <cell r="B283">
            <v>5.9321773272719771E-69</v>
          </cell>
          <cell r="C283">
            <v>5.2469243723511301E-10</v>
          </cell>
          <cell r="D283">
            <v>4.318707199443504E-3</v>
          </cell>
        </row>
        <row r="284">
          <cell r="B284">
            <v>7.9838064632977869E-70</v>
          </cell>
          <cell r="C284">
            <v>3.174253326122206E-10</v>
          </cell>
          <cell r="D284">
            <v>4.6412713664822384E-3</v>
          </cell>
        </row>
        <row r="285">
          <cell r="B285">
            <v>1.0605239263556284E-70</v>
          </cell>
          <cell r="C285">
            <v>1.9065639719886856E-10</v>
          </cell>
          <cell r="D285">
            <v>4.961384531677872E-3</v>
          </cell>
        </row>
        <row r="286">
          <cell r="B286">
            <v>1.3904184947562291E-71</v>
          </cell>
          <cell r="C286">
            <v>1.1369312410679162E-10</v>
          </cell>
          <cell r="D286">
            <v>5.2753531842314426E-3</v>
          </cell>
        </row>
        <row r="287">
          <cell r="B287">
            <v>1.7992238334206158E-72</v>
          </cell>
          <cell r="C287">
            <v>6.7311619318280691E-11</v>
          </cell>
          <cell r="D287">
            <v>5.5793411772450154E-3</v>
          </cell>
        </row>
        <row r="288">
          <cell r="B288">
            <v>2.2979440441756578E-73</v>
          </cell>
          <cell r="C288">
            <v>3.9565703891746046E-11</v>
          </cell>
          <cell r="D288">
            <v>5.8694448149416789E-3</v>
          </cell>
        </row>
        <row r="289">
          <cell r="B289">
            <v>2.8967318709012092E-74</v>
          </cell>
          <cell r="C289">
            <v>2.3089832056092198E-11</v>
          </cell>
          <cell r="D289">
            <v>6.1417743153749519E-3</v>
          </cell>
        </row>
        <row r="290">
          <cell r="B290">
            <v>3.6040577431720282E-75</v>
          </cell>
          <cell r="C290">
            <v>1.3378137999041945E-11</v>
          </cell>
          <cell r="D290">
            <v>6.392539348227531E-3</v>
          </cell>
        </row>
        <row r="291">
          <cell r="B291">
            <v>4.4257795513872675E-76</v>
          </cell>
          <cell r="C291">
            <v>7.6956195397515856E-12</v>
          </cell>
          <cell r="D291">
            <v>6.6181360663368416E-3</v>
          </cell>
        </row>
        <row r="292">
          <cell r="B292">
            <v>5.364168477940186E-77</v>
          </cell>
          <cell r="C292">
            <v>4.3950571390035672E-12</v>
          </cell>
          <cell r="D292">
            <v>6.8152328662350031E-3</v>
          </cell>
        </row>
        <row r="293">
          <cell r="B293">
            <v>6.4169644908914824E-78</v>
          </cell>
          <cell r="C293">
            <v>2.4920599304918146E-12</v>
          </cell>
          <cell r="D293">
            <v>6.9808520409788315E-3</v>
          </cell>
        </row>
        <row r="294">
          <cell r="B294">
            <v>7.5765493595487386E-79</v>
          </cell>
          <cell r="C294">
            <v>1.4028959411009249E-12</v>
          </cell>
          <cell r="D294">
            <v>7.1124445362099609E-3</v>
          </cell>
        </row>
        <row r="295">
          <cell r="B295">
            <v>8.8293325041298121E-80</v>
          </cell>
          <cell r="C295">
            <v>7.8408916921707116E-13</v>
          </cell>
          <cell r="D295">
            <v>7.2079551899496656E-3</v>
          </cell>
        </row>
        <row r="296">
          <cell r="B296">
            <v>1.0155443213711934E-80</v>
          </cell>
          <cell r="C296">
            <v>4.3508936799719214E-13</v>
          </cell>
          <cell r="D296">
            <v>7.265876123842446E-3</v>
          </cell>
        </row>
        <row r="297">
          <cell r="B297">
            <v>1.1528810119212279E-81</v>
          </cell>
          <cell r="C297">
            <v>2.3969805308091796E-13</v>
          </cell>
          <cell r="D297">
            <v>7.2852863477252143E-3</v>
          </cell>
        </row>
        <row r="298">
          <cell r="B298">
            <v>1.2917684856447465E-82</v>
          </cell>
          <cell r="C298">
            <v>1.3110630024777709E-13</v>
          </cell>
          <cell r="D298">
            <v>7.265876123842446E-3</v>
          </cell>
        </row>
        <row r="299">
          <cell r="B299">
            <v>1.4285632658221031E-83</v>
          </cell>
          <cell r="C299">
            <v>7.1196007019564983E-14</v>
          </cell>
          <cell r="D299">
            <v>7.2079551899496656E-3</v>
          </cell>
        </row>
        <row r="300">
          <cell r="B300">
            <v>1.5592970822197836E-84</v>
          </cell>
          <cell r="C300">
            <v>3.8384928163135273E-14</v>
          </cell>
          <cell r="D300">
            <v>7.1124445362099609E-3</v>
          </cell>
        </row>
        <row r="301">
          <cell r="B301">
            <v>1.6798590697097269E-85</v>
          </cell>
          <cell r="C301">
            <v>2.0546547045325586E-14</v>
          </cell>
          <cell r="D301">
            <v>6.9808520409788315E-3</v>
          </cell>
        </row>
        <row r="302">
          <cell r="B302">
            <v>1.7862055122231947E-86</v>
          </cell>
          <cell r="C302">
            <v>1.0919178895515807E-14</v>
          </cell>
          <cell r="D302">
            <v>6.8152328662350031E-3</v>
          </cell>
        </row>
        <row r="303">
          <cell r="B303">
            <v>1.8745826645550566E-87</v>
          </cell>
          <cell r="C303">
            <v>5.7612157008385159E-15</v>
          </cell>
          <cell r="D303">
            <v>6.6181360663368416E-3</v>
          </cell>
        </row>
        <row r="304">
          <cell r="B304">
            <v>1.9417457454907135E-88</v>
          </cell>
          <cell r="C304">
            <v>3.0179449220236848E-15</v>
          </cell>
          <cell r="D304">
            <v>6.392539348227531E-3</v>
          </cell>
        </row>
        <row r="305">
          <cell r="B305">
            <v>1.9851563738078286E-89</v>
          </cell>
          <cell r="C305">
            <v>1.569572942159974E-15</v>
          </cell>
          <cell r="D305">
            <v>6.1417743153749519E-3</v>
          </cell>
        </row>
        <row r="306">
          <cell r="B306">
            <v>2.003141724561175E-90</v>
          </cell>
          <cell r="C306">
            <v>8.1044718252680835E-16</v>
          </cell>
          <cell r="D306">
            <v>5.8694448149416789E-3</v>
          </cell>
        </row>
        <row r="307">
          <cell r="B307">
            <v>1.9950014993723894E-91</v>
          </cell>
          <cell r="C307">
            <v>4.1547122457644046E-16</v>
          </cell>
          <cell r="D307">
            <v>5.5793411772450154E-3</v>
          </cell>
        </row>
        <row r="308">
          <cell r="B308">
            <v>1.9610531757815923E-92</v>
          </cell>
          <cell r="C308">
            <v>2.1146096172423205E-16</v>
          </cell>
          <cell r="D308">
            <v>5.2753531842314426E-3</v>
          </cell>
        </row>
        <row r="309">
          <cell r="B309">
            <v>1.9026114600675416E-93</v>
          </cell>
          <cell r="C309">
            <v>1.0685441618002722E-16</v>
          </cell>
          <cell r="D309">
            <v>4.961384531677872E-3</v>
          </cell>
        </row>
        <row r="310">
          <cell r="B310">
            <v>1.8219037972304076E-94</v>
          </cell>
          <cell r="C310">
            <v>5.3607773294410669E-17</v>
          </cell>
          <cell r="D310">
            <v>4.6412713664822384E-3</v>
          </cell>
        </row>
        <row r="311">
          <cell r="B311">
            <v>1.7219295070336115E-95</v>
          </cell>
          <cell r="C311">
            <v>2.6701525904701497E-17</v>
          </cell>
          <cell r="D311">
            <v>4.318707199443504E-3</v>
          </cell>
        </row>
        <row r="312">
          <cell r="B312">
            <v>1.6062749621767829E-96</v>
          </cell>
          <cell r="C312">
            <v>1.3204361711675976E-17</v>
          </cell>
          <cell r="D312">
            <v>3.997176133437948E-3</v>
          </cell>
        </row>
        <row r="313">
          <cell r="B313">
            <v>1.4789006710372276E-97</v>
          </cell>
          <cell r="C313">
            <v>6.4829364498924677E-18</v>
          </cell>
          <cell r="D313">
            <v>3.6798959280644789E-3</v>
          </cell>
        </row>
        <row r="314">
          <cell r="B314">
            <v>1.3439178324917089E-98</v>
          </cell>
          <cell r="C314">
            <v>3.160087702983986E-18</v>
          </cell>
          <cell r="D314">
            <v>3.3697719675829158E-3</v>
          </cell>
        </row>
        <row r="315">
          <cell r="B315">
            <v>1.2053717860316697E-99</v>
          </cell>
          <cell r="C315">
            <v>1.5293240814754017E-18</v>
          </cell>
          <cell r="D315">
            <v>3.069362732569888E-3</v>
          </cell>
        </row>
        <row r="316">
          <cell r="B316">
            <v>1.0670479146844352E-100</v>
          </cell>
          <cell r="C316">
            <v>7.3480641349279952E-19</v>
          </cell>
          <cell r="D316">
            <v>2.7808569194417818E-3</v>
          </cell>
        </row>
        <row r="317">
          <cell r="B317">
            <v>9.3231230347120203E-102</v>
          </cell>
          <cell r="C317">
            <v>3.5052529947822648E-19</v>
          </cell>
          <cell r="D317">
            <v>2.5060619259508238E-3</v>
          </cell>
        </row>
        <row r="318">
          <cell r="B318">
            <v>8.0399528922021321E-103</v>
          </cell>
          <cell r="C318">
            <v>1.6601174690447102E-19</v>
          </cell>
          <cell r="D318">
            <v>2.2464030419335822E-3</v>
          </cell>
        </row>
        <row r="319">
          <cell r="B319">
            <v>6.8432150372391604E-104</v>
          </cell>
          <cell r="C319">
            <v>7.8060493016555072E-20</v>
          </cell>
          <cell r="D319">
            <v>2.0029323661503715E-3</v>
          </cell>
        </row>
        <row r="320">
          <cell r="B320">
            <v>5.7488564559522605E-105</v>
          </cell>
          <cell r="C320">
            <v>3.644154488360536E-20</v>
          </cell>
          <cell r="D320">
            <v>1.7763462209514837E-3</v>
          </cell>
        </row>
        <row r="321">
          <cell r="B321">
            <v>4.7666947002358357E-106</v>
          </cell>
          <cell r="C321">
            <v>1.6890219351969227E-20</v>
          </cell>
          <cell r="D321">
            <v>1.5670096613649544E-3</v>
          </cell>
        </row>
        <row r="322">
          <cell r="B322">
            <v>3.9009268225856024E-107</v>
          </cell>
          <cell r="C322">
            <v>7.772251034034769E-21</v>
          </cell>
          <cell r="D322">
            <v>1.3749865744749996E-3</v>
          </cell>
        </row>
        <row r="323">
          <cell r="B323">
            <v>3.1508872621981877E-108</v>
          </cell>
          <cell r="C323">
            <v>3.5508421675881884E-21</v>
          </cell>
          <cell r="D323">
            <v>1.2000738353303262E-3</v>
          </cell>
        </row>
        <row r="324">
          <cell r="B324">
            <v>2.5119588465705007E-109</v>
          </cell>
          <cell r="C324">
            <v>1.6106046096215122E-21</v>
          </cell>
          <cell r="D324">
            <v>1.0418380205741201E-3</v>
          </cell>
        </row>
        <row r="325">
          <cell r="B325">
            <v>1.9765452901003547E-110</v>
          </cell>
          <cell r="C325">
            <v>7.2530308812367153E-22</v>
          </cell>
          <cell r="D325">
            <v>8.9965327152525404E-4</v>
          </cell>
        </row>
        <row r="326">
          <cell r="B326">
            <v>1.5350255715020357E-111</v>
          </cell>
          <cell r="C326">
            <v>3.2428221825497724E-22</v>
          </cell>
          <cell r="D326">
            <v>7.7273903385934625E-4</v>
          </cell>
        </row>
        <row r="327">
          <cell r="B327">
            <v>1.1766276604395633E-112</v>
          </cell>
          <cell r="C327">
            <v>1.4394605381810848E-22</v>
          </cell>
          <cell r="D327">
            <v>6.6019656971648898E-4</v>
          </cell>
        </row>
        <row r="328">
          <cell r="B328">
            <v>8.9017847209628195E-114</v>
          </cell>
          <cell r="C328">
            <v>6.3437989629044637E-23</v>
          </cell>
          <cell r="D328">
            <v>5.6104332820555269E-4</v>
          </cell>
        </row>
        <row r="329">
          <cell r="B329">
            <v>6.6470617786525156E-115</v>
          </cell>
          <cell r="C329">
            <v>2.775697149738867E-23</v>
          </cell>
          <cell r="D329">
            <v>4.7424446057897879E-4</v>
          </cell>
        </row>
        <row r="330">
          <cell r="B330">
            <v>4.8988815375076418E-116</v>
          </cell>
          <cell r="C330">
            <v>1.2057791421086017E-23</v>
          </cell>
          <cell r="D330">
            <v>3.987409665496653E-4</v>
          </cell>
        </row>
        <row r="331">
          <cell r="B331">
            <v>3.5635163410184554E-117</v>
          </cell>
          <cell r="C331">
            <v>5.2003967046128755E-24</v>
          </cell>
          <cell r="D331">
            <v>3.3347414949316665E-4</v>
          </cell>
        </row>
        <row r="332">
          <cell r="B332">
            <v>2.5584395857831008E-118</v>
          </cell>
          <cell r="C332">
            <v>2.2267845609322761E-24</v>
          </cell>
          <cell r="D332">
            <v>2.7740623352037074E-4</v>
          </cell>
        </row>
        <row r="333">
          <cell r="B333">
            <v>1.8129514418539781E-119</v>
          </cell>
          <cell r="C333">
            <v>9.4665764912345637E-25</v>
          </cell>
          <cell r="D333">
            <v>2.2953714935919071E-4</v>
          </cell>
        </row>
        <row r="334">
          <cell r="B334">
            <v>1.267978158087468E-120</v>
          </cell>
          <cell r="C334">
            <v>3.9955881370248843E-25</v>
          </cell>
          <cell r="D334">
            <v>1.8891762523634168E-4</v>
          </cell>
        </row>
        <row r="335">
          <cell r="B335">
            <v>8.7529000144896263E-122</v>
          </cell>
          <cell r="C335">
            <v>1.6743317062926486E-25</v>
          </cell>
          <cell r="D335">
            <v>1.5465882182992121E-4</v>
          </cell>
        </row>
        <row r="336">
          <cell r="B336">
            <v>5.9635759813413111E-123</v>
          </cell>
          <cell r="C336">
            <v>6.9658690751196563E-26</v>
          </cell>
          <cell r="D336">
            <v>1.2593882674802792E-4</v>
          </cell>
        </row>
        <row r="337">
          <cell r="B337">
            <v>4.0102933384690116E-124</v>
          </cell>
          <cell r="C337">
            <v>2.8772800430867287E-26</v>
          </cell>
          <cell r="D337">
            <v>1.0200637505595285E-4</v>
          </cell>
        </row>
        <row r="338">
          <cell r="B338">
            <v>2.6617062187110139E-125</v>
          </cell>
          <cell r="C338">
            <v>1.1799455835714973E-26</v>
          </cell>
          <cell r="D338">
            <v>8.2182190319822653E-5</v>
          </cell>
        </row>
        <row r="339">
          <cell r="B339">
            <v>1.7436475029328627E-126</v>
          </cell>
          <cell r="C339">
            <v>4.8041310350271025E-27</v>
          </cell>
          <cell r="D339">
            <v>6.5858348377335232E-5</v>
          </cell>
        </row>
        <row r="340">
          <cell r="B340">
            <v>1.1273839808342748E-127</v>
          </cell>
          <cell r="C340">
            <v>1.9419620098031419E-27</v>
          </cell>
          <cell r="D340">
            <v>5.2496056946876922E-5</v>
          </cell>
        </row>
        <row r="341">
          <cell r="B341">
            <v>7.1944835091862114E-129</v>
          </cell>
          <cell r="C341">
            <v>7.7936273188351417E-28</v>
          </cell>
          <cell r="D341">
            <v>4.1622221788912623E-5</v>
          </cell>
        </row>
        <row r="342">
          <cell r="B342">
            <v>4.5314999322758663E-130</v>
          </cell>
          <cell r="C342">
            <v>3.1053571730490226E-28</v>
          </cell>
          <cell r="D342">
            <v>3.2825137945507906E-5</v>
          </cell>
        </row>
        <row r="343">
          <cell r="B343">
            <v>2.8170783677479736E-131</v>
          </cell>
          <cell r="C343">
            <v>1.2284472250961341E-28</v>
          </cell>
          <cell r="D343">
            <v>2.5749605899311806E-5</v>
          </cell>
        </row>
        <row r="344">
          <cell r="B344">
            <v>1.7285043389677502E-132</v>
          </cell>
          <cell r="C344">
            <v>4.8247461452867479E-29</v>
          </cell>
          <cell r="D344">
            <v>2.0091730262933668E-5</v>
          </cell>
        </row>
        <row r="345">
          <cell r="B345">
            <v>1.0467828865525214E-133</v>
          </cell>
          <cell r="C345">
            <v>1.8813320397390786E-29</v>
          </cell>
          <cell r="D345">
            <v>1.5593615355500697E-5</v>
          </cell>
        </row>
        <row r="346">
          <cell r="B346">
            <v>6.2568731203873141E-135</v>
          </cell>
          <cell r="C346">
            <v>7.2833210714621562E-30</v>
          </cell>
          <cell r="D346">
            <v>1.2038129795367746E-5</v>
          </cell>
        </row>
        <row r="347">
          <cell r="B347">
            <v>3.6912433458954116E-136</v>
          </cell>
          <cell r="C347">
            <v>2.7994098015984201E-30</v>
          </cell>
          <cell r="D347">
            <v>9.2438726066246593E-6</v>
          </cell>
        </row>
        <row r="348">
          <cell r="B348">
            <v>2.1493275248004709E-137</v>
          </cell>
          <cell r="C348">
            <v>1.0682589056936328E-30</v>
          </cell>
          <cell r="D348">
            <v>7.0604374133227037E-6</v>
          </cell>
        </row>
        <row r="349">
          <cell r="B349">
            <v>1.2352279731942143E-138</v>
          </cell>
          <cell r="C349">
            <v>4.0472458369074065E-31</v>
          </cell>
          <cell r="D349">
            <v>5.364039773473632E-6</v>
          </cell>
        </row>
        <row r="350">
          <cell r="B350">
            <v>7.0065823463988166E-140</v>
          </cell>
          <cell r="C350">
            <v>1.5223540527128827E-31</v>
          </cell>
          <cell r="D350">
            <v>4.0535459186398209E-6</v>
          </cell>
        </row>
        <row r="351">
          <cell r="B351">
            <v>3.9226534100791066E-141</v>
          </cell>
          <cell r="C351">
            <v>5.6851872079510604E-32</v>
          </cell>
          <cell r="D351">
            <v>3.0469191516033679E-6</v>
          </cell>
        </row>
        <row r="352">
          <cell r="B352">
            <v>2.1675455791460265E-142</v>
          </cell>
          <cell r="C352">
            <v>2.1078848982180631E-32</v>
          </cell>
          <cell r="D352">
            <v>2.2780827209678205E-6</v>
          </cell>
        </row>
        <row r="353">
          <cell r="B353">
            <v>1.1821460471142557E-143</v>
          </cell>
          <cell r="C353">
            <v>7.7592909044443171E-33</v>
          </cell>
          <cell r="D353">
            <v>1.6941847775174198E-6</v>
          </cell>
        </row>
        <row r="354">
          <cell r="B354">
            <v>6.3633912233648462E-145</v>
          </cell>
          <cell r="C354">
            <v>2.8357647263106064E-33</v>
          </cell>
          <cell r="D354">
            <v>1.2532415536743867E-6</v>
          </cell>
        </row>
        <row r="355">
          <cell r="B355">
            <v>3.380809572463295E-146</v>
          </cell>
          <cell r="C355">
            <v>1.0289431435521088E-33</v>
          </cell>
          <cell r="D355">
            <v>9.2212866653370799E-7</v>
          </cell>
        </row>
        <row r="356">
          <cell r="B356">
            <v>1.7728312096728969E-147</v>
          </cell>
          <cell r="C356">
            <v>3.7066841313984745E-34</v>
          </cell>
          <cell r="D356">
            <v>6.7488688110221913E-7</v>
          </cell>
        </row>
        <row r="357">
          <cell r="B357">
            <v>9.175477241636438E-149</v>
          </cell>
          <cell r="C357">
            <v>1.3257230270014436E-34</v>
          </cell>
          <cell r="D357">
            <v>4.9130725218823603E-7</v>
          </cell>
        </row>
        <row r="358">
          <cell r="B358">
            <v>4.6871033588238495E-150</v>
          </cell>
          <cell r="C358">
            <v>4.7075293947743357E-35</v>
          </cell>
          <cell r="D358">
            <v>3.557607969762901E-7</v>
          </cell>
        </row>
        <row r="359">
          <cell r="B359">
            <v>2.3631701555013294E-151</v>
          </cell>
          <cell r="C359">
            <v>1.6596109859441858E-35</v>
          </cell>
          <cell r="D359">
            <v>2.5623929440220868E-7</v>
          </cell>
        </row>
        <row r="360">
          <cell r="B360">
            <v>1.1759803108056818E-152</v>
          </cell>
          <cell r="C360">
            <v>5.8088823590025009E-36</v>
          </cell>
          <cell r="D360">
            <v>1.8357608174433929E-7</v>
          </cell>
        </row>
        <row r="361">
          <cell r="B361">
            <v>5.7759004873815309E-154</v>
          </cell>
          <cell r="C361">
            <v>2.0186074942586614E-36</v>
          </cell>
          <cell r="D361">
            <v>1.3081850694571081E-7</v>
          </cell>
        </row>
        <row r="362">
          <cell r="B362">
            <v>2.7999736762963204E-155</v>
          </cell>
          <cell r="C362">
            <v>6.9644079249436206E-37</v>
          </cell>
          <cell r="D362">
            <v>9.2726743117236323E-8</v>
          </cell>
        </row>
        <row r="363">
          <cell r="B363">
            <v>1.3396852909123E-156</v>
          </cell>
          <cell r="C363">
            <v>2.3855555860863707E-37</v>
          </cell>
          <cell r="D363">
            <v>6.5376783537036899E-8</v>
          </cell>
        </row>
        <row r="364">
          <cell r="B364">
            <v>6.3265395044426418E-158</v>
          </cell>
          <cell r="C364">
            <v>8.1127463896062252E-38</v>
          </cell>
          <cell r="D364">
            <v>4.5848467064096884E-8</v>
          </cell>
        </row>
        <row r="365">
          <cell r="B365">
            <v>2.948792775638255E-159</v>
          </cell>
          <cell r="C365">
            <v>2.7391718437096481E-38</v>
          </cell>
          <cell r="D365">
            <v>3.1982235381221889E-8</v>
          </cell>
        </row>
        <row r="366">
          <cell r="B366">
            <v>1.3565533494755757E-160</v>
          </cell>
          <cell r="C366">
            <v>9.1821350836859242E-39</v>
          </cell>
          <cell r="D366">
            <v>2.2190931696984821E-8</v>
          </cell>
        </row>
        <row r="367">
          <cell r="B367">
            <v>6.1594806704610556E-162</v>
          </cell>
          <cell r="C367">
            <v>3.0559137753644022E-39</v>
          </cell>
          <cell r="D367">
            <v>1.5315281509581214E-8</v>
          </cell>
        </row>
        <row r="368">
          <cell r="B368">
            <v>2.7603611715231781E-163</v>
          </cell>
          <cell r="C368">
            <v>1.0097445887692932E-39</v>
          </cell>
          <cell r="D368">
            <v>1.051373816503517E-8</v>
          </cell>
        </row>
        <row r="369">
          <cell r="B369">
            <v>1.2209624773905827E-164</v>
          </cell>
          <cell r="C369">
            <v>3.3124931778379782E-40</v>
          </cell>
          <cell r="D369">
            <v>7.179133942422807E-9</v>
          </cell>
        </row>
        <row r="370">
          <cell r="B370">
            <v>5.3303204579954453E-166</v>
          </cell>
          <cell r="C370">
            <v>1.0788758463372473E-40</v>
          </cell>
          <cell r="D370">
            <v>4.8760671857292965E-9</v>
          </cell>
        </row>
        <row r="371">
          <cell r="B371">
            <v>2.2967774529816616E-167</v>
          </cell>
          <cell r="C371">
            <v>3.4886786532719579E-41</v>
          </cell>
          <cell r="D371">
            <v>3.2942005223351978E-9</v>
          </cell>
        </row>
        <row r="372">
          <cell r="B372">
            <v>9.7678528220031056E-169</v>
          </cell>
          <cell r="C372">
            <v>1.1200140873055646E-41</v>
          </cell>
          <cell r="D372">
            <v>2.2136711663698599E-9</v>
          </cell>
        </row>
        <row r="373">
          <cell r="B373">
            <v>4.1000947476646715E-170</v>
          </cell>
          <cell r="C373">
            <v>3.5699244250293769E-42</v>
          </cell>
          <cell r="D373">
            <v>1.4796497011405117E-9</v>
          </cell>
        </row>
        <row r="374">
          <cell r="B374">
            <v>1.6986475335899638E-171</v>
          </cell>
          <cell r="C374">
            <v>1.1297115763133706E-42</v>
          </cell>
          <cell r="D374">
            <v>9.8375610169278513E-10</v>
          </cell>
        </row>
        <row r="375">
          <cell r="B375">
            <v>6.9458795433366565E-173</v>
          </cell>
          <cell r="C375">
            <v>3.5493526852404557E-43</v>
          </cell>
          <cell r="D375">
            <v>6.5057698161756837E-10</v>
          </cell>
        </row>
        <row r="376">
          <cell r="B376">
            <v>2.8032757264210544E-174</v>
          </cell>
          <cell r="C376">
            <v>1.1071430852185834E-43</v>
          </cell>
          <cell r="D376">
            <v>4.279496477708778E-10</v>
          </cell>
        </row>
        <row r="377">
          <cell r="B377">
            <v>1.1166549103552737E-175</v>
          </cell>
          <cell r="C377">
            <v>3.4287148471888537E-44</v>
          </cell>
          <cell r="D377">
            <v>2.8000731629845511E-10</v>
          </cell>
        </row>
        <row r="378">
          <cell r="B378">
            <v>4.3902245911552596E-177</v>
          </cell>
          <cell r="C378">
            <v>1.0542218272790532E-44</v>
          </cell>
          <cell r="D378">
            <v>1.8223374947112011E-10</v>
          </cell>
        </row>
        <row r="379">
          <cell r="B379">
            <v>1.7036057239037517E-178</v>
          </cell>
          <cell r="C379">
            <v>3.2181453798310874E-45</v>
          </cell>
          <cell r="D379">
            <v>1.1796983405624769E-10</v>
          </cell>
        </row>
        <row r="380">
          <cell r="B380">
            <v>6.5247824745672754E-180</v>
          </cell>
          <cell r="C380">
            <v>9.7533168886433859E-46</v>
          </cell>
          <cell r="D380">
            <v>7.5961905767306407E-11</v>
          </cell>
        </row>
        <row r="381">
          <cell r="B381">
            <v>2.466479891289229E-181</v>
          </cell>
          <cell r="C381">
            <v>2.9347562076863201E-46</v>
          </cell>
          <cell r="D381">
            <v>4.8652309554228869E-11</v>
          </cell>
        </row>
        <row r="382">
          <cell r="B382">
            <v>9.2024552684322338E-183</v>
          </cell>
          <cell r="C382">
            <v>8.7672773347878707E-47</v>
          </cell>
          <cell r="D382">
            <v>3.099515385799204E-11</v>
          </cell>
        </row>
        <row r="383">
          <cell r="B383">
            <v>3.3887883513108767E-184</v>
          </cell>
          <cell r="C383">
            <v>2.6003420524221841E-47</v>
          </cell>
          <cell r="D383">
            <v>1.9641147520806322E-11</v>
          </cell>
        </row>
        <row r="384">
          <cell r="B384">
            <v>1.2316853350102713E-185</v>
          </cell>
          <cell r="C384">
            <v>7.6571866547493988E-48</v>
          </cell>
          <cell r="D384">
            <v>1.238005700592073E-11</v>
          </cell>
        </row>
        <row r="385">
          <cell r="B385">
            <v>4.4184474078891557E-187</v>
          </cell>
          <cell r="C385">
            <v>2.2386232392948327E-48</v>
          </cell>
          <cell r="D385">
            <v>7.7617769314943904E-12</v>
          </cell>
        </row>
        <row r="386">
          <cell r="B386">
            <v>1.5644230421148626E-188</v>
          </cell>
          <cell r="C386">
            <v>6.497791950313666E-49</v>
          </cell>
          <cell r="D386">
            <v>4.8404127459591778E-12</v>
          </cell>
        </row>
        <row r="387">
          <cell r="B387">
            <v>5.4670533558659356E-190</v>
          </cell>
          <cell r="C387">
            <v>1.8725077135605609E-49</v>
          </cell>
          <cell r="D387">
            <v>3.0025231208549561E-12</v>
          </cell>
        </row>
        <row r="388">
          <cell r="B388">
            <v>1.8856757470867378E-191</v>
          </cell>
          <cell r="C388">
            <v>5.3574046313246374E-50</v>
          </cell>
          <cell r="D388">
            <v>1.852563276352201E-12</v>
          </cell>
        </row>
        <row r="389">
          <cell r="B389">
            <v>6.4194129318591266E-193</v>
          </cell>
          <cell r="C389">
            <v>1.5218025305075509E-50</v>
          </cell>
          <cell r="D389">
            <v>1.1369528821317321E-12</v>
          </cell>
        </row>
        <row r="390">
          <cell r="B390">
            <v>2.156940696726908E-194</v>
          </cell>
          <cell r="C390">
            <v>4.2917575006124908E-51</v>
          </cell>
          <cell r="D390">
            <v>6.9405615345737209E-13</v>
          </cell>
        </row>
        <row r="391">
          <cell r="B391">
            <v>7.1531229701283077E-196</v>
          </cell>
          <cell r="C391">
            <v>1.2016695806386362E-51</v>
          </cell>
          <cell r="D391">
            <v>4.2143390946590938E-13</v>
          </cell>
        </row>
        <row r="392">
          <cell r="B392">
            <v>2.3413577219864837E-197</v>
          </cell>
          <cell r="C392">
            <v>3.3404731080101132E-52</v>
          </cell>
          <cell r="D392">
            <v>2.5453474329532555E-13</v>
          </cell>
        </row>
        <row r="393">
          <cell r="B393">
            <v>7.5640509829851079E-199</v>
          </cell>
          <cell r="C393">
            <v>9.2194266209522631E-53</v>
          </cell>
          <cell r="D393">
            <v>1.529140497982773E-13</v>
          </cell>
        </row>
        <row r="394">
          <cell r="B394">
            <v>2.4118801168524444E-200</v>
          </cell>
          <cell r="C394">
            <v>2.5262298586555272E-53</v>
          </cell>
          <cell r="D394">
            <v>9.1375640861547647E-14</v>
          </cell>
        </row>
        <row r="395">
          <cell r="B395">
            <v>7.5905209217650426E-202</v>
          </cell>
          <cell r="C395">
            <v>6.8725013784989196E-54</v>
          </cell>
          <cell r="D395">
            <v>5.4312051474095207E-14</v>
          </cell>
        </row>
        <row r="396">
          <cell r="B396">
            <v>2.3577732738191251E-203</v>
          </cell>
          <cell r="C396">
            <v>1.8562216213767142E-54</v>
          </cell>
          <cell r="D396">
            <v>3.2110325241396511E-14</v>
          </cell>
        </row>
        <row r="397">
          <cell r="B397">
            <v>7.2284818329345241E-205</v>
          </cell>
          <cell r="C397">
            <v>4.9775752947621598E-55</v>
          </cell>
          <cell r="D397">
            <v>1.8883214550125648E-14</v>
          </cell>
        </row>
        <row r="398">
          <cell r="B398">
            <v>2.1872918850393022E-206</v>
          </cell>
          <cell r="C398">
            <v>1.3251921944499896E-55</v>
          </cell>
          <cell r="D398">
            <v>1.1045614362500364E-14</v>
          </cell>
        </row>
        <row r="399">
          <cell r="B399">
            <v>6.5325235497792199E-208</v>
          </cell>
          <cell r="C399">
            <v>3.5027804720566489E-56</v>
          </cell>
          <cell r="D399">
            <v>6.4266781575756278E-15</v>
          </cell>
        </row>
        <row r="400">
          <cell r="B400">
            <v>1.9256165986227844E-209</v>
          </cell>
          <cell r="C400">
            <v>9.1922111189179172E-57</v>
          </cell>
          <cell r="D400">
            <v>3.7193406101346137E-15</v>
          </cell>
        </row>
        <row r="401">
          <cell r="B401">
            <v>5.6023888909278765E-211</v>
          </cell>
          <cell r="C401">
            <v>2.3949700154406145E-57</v>
          </cell>
          <cell r="D401">
            <v>2.1410562564803362E-15</v>
          </cell>
        </row>
        <row r="402">
          <cell r="B402">
            <v>1.608760068502758E-212</v>
          </cell>
          <cell r="C402">
            <v>6.1951694611047132E-58</v>
          </cell>
          <cell r="D402">
            <v>1.2259504883520181E-15</v>
          </cell>
        </row>
        <row r="403">
          <cell r="B403">
            <v>4.5595701127765149E-214</v>
          </cell>
          <cell r="C403">
            <v>1.5910334858473904E-58</v>
          </cell>
          <cell r="D403">
            <v>6.9823322278676033E-16</v>
          </cell>
        </row>
        <row r="404">
          <cell r="B404">
            <v>1.2754725401488745E-215</v>
          </cell>
          <cell r="C404">
            <v>4.0567520998206915E-59</v>
          </cell>
          <cell r="D404">
            <v>3.9555858380769464E-16</v>
          </cell>
        </row>
        <row r="405">
          <cell r="B405">
            <v>3.5215424047262162E-217</v>
          </cell>
          <cell r="C405">
            <v>1.0269531676909736E-59</v>
          </cell>
          <cell r="D405">
            <v>2.2289680498445803E-16</v>
          </cell>
        </row>
        <row r="406">
          <cell r="B406">
            <v>9.5964217435785071E-219</v>
          </cell>
          <cell r="C406">
            <v>2.5810464939422981E-60</v>
          </cell>
          <cell r="D406">
            <v>1.249336991528999E-16</v>
          </cell>
        </row>
        <row r="407">
          <cell r="B407">
            <v>2.5810732172787923E-220</v>
          </cell>
          <cell r="C407">
            <v>6.4404177245584348E-61</v>
          </cell>
          <cell r="D407">
            <v>6.9652720029532005E-17</v>
          </cell>
        </row>
        <row r="408">
          <cell r="B408">
            <v>6.8518195540617753E-222</v>
          </cell>
          <cell r="C408">
            <v>1.5955310675917326E-61</v>
          </cell>
          <cell r="D408">
            <v>3.8625960177899417E-17</v>
          </cell>
        </row>
        <row r="409">
          <cell r="B409">
            <v>1.7952548320247856E-223</v>
          </cell>
          <cell r="C409">
            <v>3.9243660800919307E-62</v>
          </cell>
          <cell r="D409">
            <v>2.1306063734770157E-17</v>
          </cell>
        </row>
        <row r="410">
          <cell r="B410">
            <v>4.6425959269961394E-225</v>
          </cell>
          <cell r="C410">
            <v>9.5831167968848669E-63</v>
          </cell>
          <cell r="D410">
            <v>1.1689875372534014E-17</v>
          </cell>
        </row>
        <row r="411">
          <cell r="B411">
            <v>1.1849779313805703E-226</v>
          </cell>
          <cell r="C411">
            <v>2.3233630008490303E-63</v>
          </cell>
          <cell r="D411">
            <v>6.3796854479669506E-18</v>
          </cell>
        </row>
        <row r="412">
          <cell r="B412">
            <v>2.9852054991535861E-228</v>
          </cell>
          <cell r="C412">
            <v>5.5924276788023214E-64</v>
          </cell>
          <cell r="D412">
            <v>3.4631505950281557E-18</v>
          </cell>
        </row>
        <row r="413">
          <cell r="B413">
            <v>7.4225442982740259E-230</v>
          </cell>
          <cell r="C413">
            <v>1.3364622736385544E-64</v>
          </cell>
          <cell r="D413">
            <v>1.869933723916721E-18</v>
          </cell>
        </row>
        <row r="414">
          <cell r="B414">
            <v>1.8215703889338247E-231</v>
          </cell>
          <cell r="C414">
            <v>3.1709255895403136E-65</v>
          </cell>
          <cell r="D414">
            <v>1.0043007264240777E-18</v>
          </cell>
        </row>
        <row r="415">
          <cell r="B415">
            <v>4.4121849818419782E-233</v>
          </cell>
          <cell r="C415">
            <v>7.4694464411682397E-66</v>
          </cell>
          <cell r="D415">
            <v>5.3651771391271481E-19</v>
          </cell>
        </row>
        <row r="416">
          <cell r="B416">
            <v>1.0548144259791912E-234</v>
          </cell>
          <cell r="C416">
            <v>1.7468829421310173E-66</v>
          </cell>
          <cell r="D416">
            <v>2.8509334516474798E-19</v>
          </cell>
        </row>
        <row r="417">
          <cell r="B417">
            <v>2.48893184206056E-236</v>
          </cell>
          <cell r="C417">
            <v>4.0561332179770394E-67</v>
          </cell>
          <cell r="D417">
            <v>1.5068597070627647E-19</v>
          </cell>
        </row>
        <row r="418">
          <cell r="B418">
            <v>5.7964826666408562E-238</v>
          </cell>
          <cell r="C418">
            <v>9.3504742029518272E-68</v>
          </cell>
          <cell r="D418">
            <v>7.9221176236049522E-20</v>
          </cell>
        </row>
        <row r="419">
          <cell r="B419">
            <v>1.3323878804997688E-239</v>
          </cell>
          <cell r="C419">
            <v>2.1400705083210027E-68</v>
          </cell>
          <cell r="D419">
            <v>4.1427857938161335E-20</v>
          </cell>
        </row>
        <row r="420">
          <cell r="B420">
            <v>3.0228138282950827E-241</v>
          </cell>
          <cell r="C420">
            <v>4.8629023382029487E-69</v>
          </cell>
          <cell r="D420">
            <v>2.1548964029112562E-20</v>
          </cell>
        </row>
        <row r="421">
          <cell r="B421">
            <v>6.7687226853854039E-243</v>
          </cell>
          <cell r="C421">
            <v>1.0970742787424864E-69</v>
          </cell>
          <cell r="D421">
            <v>1.1149182897810692E-20</v>
          </cell>
        </row>
        <row r="422">
          <cell r="B422">
            <v>1.4959484807103428E-244</v>
          </cell>
          <cell r="C422">
            <v>2.4572510994387146E-70</v>
          </cell>
          <cell r="D422">
            <v>5.7377604095192471E-21</v>
          </cell>
        </row>
        <row r="423">
          <cell r="B423">
            <v>3.2631808760816583E-246</v>
          </cell>
          <cell r="C423">
            <v>5.4643192250492381E-71</v>
          </cell>
          <cell r="D423">
            <v>2.9371390339780509E-21</v>
          </cell>
        </row>
        <row r="424">
          <cell r="B424">
            <v>7.0255487506651913E-248</v>
          </cell>
          <cell r="C424">
            <v>1.2064118861376528E-71</v>
          </cell>
          <cell r="D424">
            <v>1.4955100170781249E-21</v>
          </cell>
        </row>
        <row r="425">
          <cell r="B425">
            <v>1.4929111127650546E-249</v>
          </cell>
          <cell r="C425">
            <v>2.6444062305105676E-72</v>
          </cell>
          <cell r="D425">
            <v>7.5742018284163687E-22</v>
          </cell>
        </row>
        <row r="426">
          <cell r="B426">
            <v>3.1311382558635926E-251</v>
          </cell>
          <cell r="C426">
            <v>5.7548466549803174E-73</v>
          </cell>
          <cell r="D426">
            <v>3.8156378354101282E-22</v>
          </cell>
        </row>
        <row r="427">
          <cell r="B427">
            <v>6.4816433795143493E-253</v>
          </cell>
          <cell r="C427">
            <v>1.2434042848188538E-73</v>
          </cell>
          <cell r="D427">
            <v>1.911965913665568E-22</v>
          </cell>
        </row>
        <row r="428">
          <cell r="B428">
            <v>1.3242885222606222E-254</v>
          </cell>
          <cell r="C428">
            <v>2.6672515931778594E-74</v>
          </cell>
          <cell r="D428">
            <v>9.5296262978834613E-23</v>
          </cell>
        </row>
        <row r="429">
          <cell r="B429">
            <v>2.6705129728951303E-256</v>
          </cell>
          <cell r="C429">
            <v>5.6805269754905049E-75</v>
          </cell>
          <cell r="D429">
            <v>4.7244833287454448E-23</v>
          </cell>
        </row>
        <row r="430">
          <cell r="B430">
            <v>5.3152214520648895E-258</v>
          </cell>
          <cell r="C430">
            <v>1.2011196988476303E-75</v>
          </cell>
          <cell r="D430">
            <v>2.3297831359631051E-23</v>
          </cell>
        </row>
        <row r="431">
          <cell r="B431">
            <v>1.0441493671611859E-259</v>
          </cell>
          <cell r="C431">
            <v>2.5214883879860001E-76</v>
          </cell>
          <cell r="D431">
            <v>1.1427714969644342E-23</v>
          </cell>
        </row>
        <row r="432">
          <cell r="B432">
            <v>2.0245033051140521E-261</v>
          </cell>
          <cell r="C432">
            <v>5.2553382652659157E-77</v>
          </cell>
          <cell r="D432">
            <v>5.5755283428404941E-24</v>
          </cell>
        </row>
        <row r="433">
          <cell r="B433">
            <v>3.8742616274726347E-263</v>
          </cell>
          <cell r="C433">
            <v>1.0874702817134238E-77</v>
          </cell>
          <cell r="D433">
            <v>2.7057980653863037E-24</v>
          </cell>
        </row>
        <row r="434">
          <cell r="B434">
            <v>7.3176897832493863E-265</v>
          </cell>
          <cell r="C434">
            <v>2.2341233083878574E-78</v>
          </cell>
          <cell r="D434">
            <v>1.3061331793246742E-24</v>
          </cell>
        </row>
        <row r="435">
          <cell r="B435">
            <v>1.3641861581483824E-266</v>
          </cell>
          <cell r="C435">
            <v>4.5569042305881222E-79</v>
          </cell>
          <cell r="D435">
            <v>6.2713677398071214E-25</v>
          </cell>
        </row>
        <row r="436">
          <cell r="B436">
            <v>2.5100818134703527E-268</v>
          </cell>
          <cell r="C436">
            <v>9.2279595682796218E-80</v>
          </cell>
          <cell r="D436">
            <v>2.9951584285002631E-25</v>
          </cell>
        </row>
        <row r="437">
          <cell r="B437">
            <v>4.5584449041813087E-270</v>
          </cell>
          <cell r="C437">
            <v>1.8553014516888637E-80</v>
          </cell>
          <cell r="D437">
            <v>1.422853074992496E-25</v>
          </cell>
        </row>
        <row r="438">
          <cell r="B438">
            <v>8.1707164153158115E-272</v>
          </cell>
          <cell r="C438">
            <v>3.7033631898696794E-81</v>
          </cell>
          <cell r="D438">
            <v>6.7233085119513247E-26</v>
          </cell>
        </row>
        <row r="439">
          <cell r="B439">
            <v>1.4455002111895589E-273</v>
          </cell>
          <cell r="C439">
            <v>7.3392409570997216E-82</v>
          </cell>
          <cell r="D439">
            <v>3.160012127627068E-26</v>
          </cell>
        </row>
        <row r="440">
          <cell r="B440">
            <v>2.5240082836092902E-275</v>
          </cell>
          <cell r="C440">
            <v>1.4440392806471826E-82</v>
          </cell>
          <cell r="D440">
            <v>1.4773288684906694E-26</v>
          </cell>
        </row>
        <row r="441">
          <cell r="B441">
            <v>4.3498871170998136E-277</v>
          </cell>
          <cell r="C441">
            <v>2.8208493145703096E-83</v>
          </cell>
          <cell r="D441">
            <v>6.8698672557322201E-27</v>
          </cell>
        </row>
        <row r="442">
          <cell r="B442">
            <v>7.3991152537559524E-279</v>
          </cell>
          <cell r="C442">
            <v>5.4708371527775502E-84</v>
          </cell>
          <cell r="D442">
            <v>3.1776219896436266E-27</v>
          </cell>
        </row>
        <row r="443">
          <cell r="B443">
            <v>1.2422133496660402E-280</v>
          </cell>
          <cell r="C443">
            <v>1.0534179333072484E-84</v>
          </cell>
          <cell r="D443">
            <v>1.4619712926598854E-27</v>
          </cell>
        </row>
        <row r="444">
          <cell r="B444">
            <v>2.0583877402716769E-282</v>
          </cell>
          <cell r="C444">
            <v>2.0138199881951536E-85</v>
          </cell>
          <cell r="D444">
            <v>6.6904939667322443E-28</v>
          </cell>
        </row>
        <row r="445">
          <cell r="B445">
            <v>3.3664547046508086E-284</v>
          </cell>
          <cell r="C445">
            <v>3.8222017460355177E-86</v>
          </cell>
          <cell r="D445">
            <v>3.045511528280913E-28</v>
          </cell>
        </row>
        <row r="446">
          <cell r="B446">
            <v>5.4341667251200058E-286</v>
          </cell>
          <cell r="C446">
            <v>7.2024389492588919E-87</v>
          </cell>
          <cell r="D446">
            <v>1.3789389469193864E-28</v>
          </cell>
        </row>
        <row r="447">
          <cell r="B447">
            <v>8.6578037389681139E-288</v>
          </cell>
          <cell r="C447">
            <v>1.3474683859291359E-87</v>
          </cell>
          <cell r="D447">
            <v>6.2102996291331599E-29</v>
          </cell>
        </row>
        <row r="448">
          <cell r="B448">
            <v>1.3614356198749088E-289</v>
          </cell>
          <cell r="C448">
            <v>2.5028256854587959E-88</v>
          </cell>
          <cell r="D448">
            <v>2.7820363239947279E-29</v>
          </cell>
        </row>
        <row r="449">
          <cell r="B449">
            <v>2.1130076817739484E-291</v>
          </cell>
          <cell r="C449">
            <v>4.6154669105006001E-89</v>
          </cell>
          <cell r="D449">
            <v>1.2396405211462608E-29</v>
          </cell>
        </row>
        <row r="450">
          <cell r="B450">
            <v>3.2368281116443095E-293</v>
          </cell>
          <cell r="C450">
            <v>8.45033059728404E-90</v>
          </cell>
          <cell r="D450">
            <v>5.4942884689117436E-30</v>
          </cell>
        </row>
        <row r="451">
          <cell r="B451">
            <v>4.8938741069229012E-295</v>
          </cell>
          <cell r="C451">
            <v>1.5360479670448367E-90</v>
          </cell>
          <cell r="D451">
            <v>2.4221993161141661E-30</v>
          </cell>
        </row>
        <row r="452">
          <cell r="B452">
            <v>7.3029872667606094E-297</v>
          </cell>
          <cell r="C452">
            <v>2.7720998896844676E-91</v>
          </cell>
          <cell r="D452">
            <v>1.0621626421950317E-30</v>
          </cell>
        </row>
        <row r="453">
          <cell r="B453">
            <v>1.075629954844902E-298</v>
          </cell>
          <cell r="C453">
            <v>4.9669065955967347E-92</v>
          </cell>
          <cell r="D453">
            <v>4.6329209906287616E-31</v>
          </cell>
        </row>
        <row r="454">
          <cell r="B454">
            <v>1.563651002204827E-300</v>
          </cell>
          <cell r="C454">
            <v>8.8356017027292417E-93</v>
          </cell>
          <cell r="D454">
            <v>2.0100251477377361E-31</v>
          </cell>
        </row>
        <row r="455">
          <cell r="B455">
            <v>2.243527314428495E-302</v>
          </cell>
          <cell r="C455">
            <v>1.5604838816936896E-93</v>
          </cell>
          <cell r="D455">
            <v>8.6742276141278246E-32</v>
          </cell>
        </row>
        <row r="456">
          <cell r="B456">
            <v>3.1771483199339871E-304</v>
          </cell>
          <cell r="C456">
            <v>2.7362480425535825E-94</v>
          </cell>
          <cell r="D456">
            <v>3.723427164245239E-32</v>
          </cell>
        </row>
        <row r="457">
          <cell r="B457">
            <v>4.4407693044649355E-306</v>
          </cell>
          <cell r="C457">
            <v>4.7634834466589072E-95</v>
          </cell>
          <cell r="D457">
            <v>1.5897822272069031E-32</v>
          </cell>
        </row>
        <row r="458">
          <cell r="B458">
            <v>6.1262332721040623E-308</v>
          </cell>
          <cell r="C458">
            <v>8.2331660888526616E-96</v>
          </cell>
          <cell r="D458">
            <v>6.7517311109654149E-33</v>
          </cell>
        </row>
        <row r="459">
          <cell r="B459">
            <v>0</v>
          </cell>
          <cell r="C459">
            <v>1.4128046399930895E-96</v>
          </cell>
          <cell r="D459">
            <v>2.8521697176101806E-33</v>
          </cell>
        </row>
        <row r="460">
          <cell r="B460">
            <v>0</v>
          </cell>
          <cell r="C460">
            <v>2.406968287167239E-97</v>
          </cell>
          <cell r="D460">
            <v>1.1984455766907079E-33</v>
          </cell>
        </row>
        <row r="461">
          <cell r="B461">
            <v>0</v>
          </cell>
          <cell r="C461">
            <v>4.0712862998376116E-98</v>
          </cell>
          <cell r="D461">
            <v>5.0089188415898797E-34</v>
          </cell>
        </row>
        <row r="462">
          <cell r="B462">
            <v>0</v>
          </cell>
          <cell r="C462">
            <v>6.8370056536985244E-99</v>
          </cell>
          <cell r="D462">
            <v>2.0823436312965268E-34</v>
          </cell>
        </row>
        <row r="463">
          <cell r="B463">
            <v>0</v>
          </cell>
          <cell r="C463">
            <v>1.1399170617561059E-99</v>
          </cell>
          <cell r="D463">
            <v>8.6108005295042051E-35</v>
          </cell>
        </row>
        <row r="464">
          <cell r="B464">
            <v>0</v>
          </cell>
          <cell r="C464">
            <v>1.8869204391140264E-100</v>
          </cell>
          <cell r="D464">
            <v>3.5417457756623727E-35</v>
          </cell>
        </row>
        <row r="465">
          <cell r="B465">
            <v>0</v>
          </cell>
          <cell r="C465">
            <v>3.1010369660025795E-101</v>
          </cell>
          <cell r="D465">
            <v>1.4490186198286898E-35</v>
          </cell>
        </row>
        <row r="466">
          <cell r="B466">
            <v>0</v>
          </cell>
          <cell r="C466">
            <v>5.0597996136669208E-102</v>
          </cell>
          <cell r="D466">
            <v>5.896757575145024E-36</v>
          </cell>
        </row>
        <row r="467">
          <cell r="B467">
            <v>0</v>
          </cell>
          <cell r="C467">
            <v>8.1965805576009112E-103</v>
          </cell>
          <cell r="D467">
            <v>2.3869059492847783E-36</v>
          </cell>
        </row>
        <row r="468">
          <cell r="B468">
            <v>0</v>
          </cell>
          <cell r="C468">
            <v>1.3182722960978679E-103</v>
          </cell>
          <cell r="D468">
            <v>9.6103690649912278E-37</v>
          </cell>
        </row>
        <row r="469">
          <cell r="B469">
            <v>0</v>
          </cell>
          <cell r="C469">
            <v>2.1049925294012692E-104</v>
          </cell>
          <cell r="D469">
            <v>3.8488195610892741E-37</v>
          </cell>
        </row>
        <row r="470">
          <cell r="B470">
            <v>0</v>
          </cell>
          <cell r="C470">
            <v>3.3370983953666704E-105</v>
          </cell>
          <cell r="D470">
            <v>1.5331962982898631E-37</v>
          </cell>
        </row>
        <row r="471">
          <cell r="B471">
            <v>0</v>
          </cell>
          <cell r="C471">
            <v>5.2524325637629533E-106</v>
          </cell>
          <cell r="D471">
            <v>6.075061779451803E-38</v>
          </cell>
        </row>
        <row r="472">
          <cell r="B472">
            <v>0</v>
          </cell>
          <cell r="C472">
            <v>8.207766219008354E-107</v>
          </cell>
          <cell r="D472">
            <v>2.3943429796481106E-38</v>
          </cell>
        </row>
        <row r="473">
          <cell r="B473">
            <v>0</v>
          </cell>
          <cell r="C473">
            <v>1.2733930948825676E-107</v>
          </cell>
          <cell r="D473">
            <v>9.3865230264518997E-39</v>
          </cell>
        </row>
        <row r="474">
          <cell r="B474">
            <v>0</v>
          </cell>
          <cell r="C474">
            <v>1.9614309452360968E-108</v>
          </cell>
          <cell r="D474">
            <v>3.6602088284479333E-39</v>
          </cell>
        </row>
        <row r="475">
          <cell r="B475">
            <v>0</v>
          </cell>
          <cell r="C475">
            <v>2.9995532407681659E-109</v>
          </cell>
          <cell r="D475">
            <v>1.4196775163525085E-39</v>
          </cell>
        </row>
        <row r="476">
          <cell r="B476">
            <v>0</v>
          </cell>
          <cell r="C476">
            <v>4.5542109869745324E-110</v>
          </cell>
          <cell r="D476">
            <v>5.4771706270171634E-40</v>
          </cell>
        </row>
        <row r="477">
          <cell r="B477">
            <v>0</v>
          </cell>
          <cell r="C477">
            <v>6.8650347236114123E-111</v>
          </cell>
          <cell r="D477">
            <v>2.1018686004678595E-40</v>
          </cell>
        </row>
        <row r="478">
          <cell r="B478">
            <v>0</v>
          </cell>
          <cell r="C478">
            <v>1.0274136930697873E-111</v>
          </cell>
          <cell r="D478">
            <v>8.0230145561725584E-41</v>
          </cell>
        </row>
        <row r="479">
          <cell r="B479">
            <v>0</v>
          </cell>
          <cell r="C479">
            <v>1.52658496449523E-112</v>
          </cell>
          <cell r="D479">
            <v>3.0461572841581738E-41</v>
          </cell>
        </row>
        <row r="480">
          <cell r="B480">
            <v>0</v>
          </cell>
          <cell r="C480">
            <v>2.2520064574290722E-113</v>
          </cell>
          <cell r="D480">
            <v>1.1504024376099296E-41</v>
          </cell>
        </row>
        <row r="481">
          <cell r="B481">
            <v>0</v>
          </cell>
          <cell r="C481">
            <v>3.2983087132838079E-114</v>
          </cell>
          <cell r="D481">
            <v>4.3214549367965464E-42</v>
          </cell>
        </row>
        <row r="482">
          <cell r="B482">
            <v>0</v>
          </cell>
          <cell r="C482">
            <v>4.7960752928901699E-115</v>
          </cell>
          <cell r="D482">
            <v>1.6147039580598279E-42</v>
          </cell>
        </row>
        <row r="483">
          <cell r="B483">
            <v>0</v>
          </cell>
          <cell r="C483">
            <v>6.9239464839653077E-116</v>
          </cell>
          <cell r="D483">
            <v>6.0012063056476348E-43</v>
          </cell>
        </row>
        <row r="484">
          <cell r="B484">
            <v>0</v>
          </cell>
          <cell r="C484">
            <v>9.9241754218442773E-117</v>
          </cell>
          <cell r="D484">
            <v>2.2185382961492282E-43</v>
          </cell>
        </row>
        <row r="485">
          <cell r="B485">
            <v>0</v>
          </cell>
          <cell r="C485">
            <v>1.4122389391063945E-117</v>
          </cell>
          <cell r="D485">
            <v>8.1578934489362788E-44</v>
          </cell>
        </row>
        <row r="486">
          <cell r="B486">
            <v>0</v>
          </cell>
          <cell r="C486">
            <v>1.9952391201161712E-118</v>
          </cell>
          <cell r="D486">
            <v>2.9838147281941791E-44</v>
          </cell>
        </row>
        <row r="487">
          <cell r="B487">
            <v>0</v>
          </cell>
          <cell r="C487">
            <v>2.7986896417405373E-119</v>
          </cell>
          <cell r="D487">
            <v>1.0855464309836431E-44</v>
          </cell>
        </row>
        <row r="488">
          <cell r="B488">
            <v>0</v>
          </cell>
          <cell r="C488">
            <v>3.8975127923309681E-120</v>
          </cell>
          <cell r="D488">
            <v>3.9283274363709304E-45</v>
          </cell>
        </row>
        <row r="489">
          <cell r="B489">
            <v>0</v>
          </cell>
          <cell r="C489">
            <v>5.3888162849395666E-121</v>
          </cell>
          <cell r="D489">
            <v>1.414000888789073E-45</v>
          </cell>
        </row>
        <row r="490">
          <cell r="B490">
            <v>0</v>
          </cell>
          <cell r="C490">
            <v>7.3972828696448313E-122</v>
          </cell>
          <cell r="D490">
            <v>5.0626092760706466E-46</v>
          </cell>
        </row>
        <row r="491">
          <cell r="B491">
            <v>0</v>
          </cell>
          <cell r="C491">
            <v>1.008147539307967E-122</v>
          </cell>
          <cell r="D491">
            <v>1.802942451049822E-46</v>
          </cell>
        </row>
        <row r="492">
          <cell r="B492">
            <v>0</v>
          </cell>
          <cell r="C492">
            <v>1.3641087111320873E-123</v>
          </cell>
          <cell r="D492">
            <v>6.3866342299732816E-47</v>
          </cell>
        </row>
        <row r="493">
          <cell r="B493">
            <v>0</v>
          </cell>
          <cell r="C493">
            <v>1.8325122645988076E-124</v>
          </cell>
          <cell r="D493">
            <v>2.2503234713783892E-47</v>
          </cell>
        </row>
        <row r="494">
          <cell r="B494">
            <v>0</v>
          </cell>
          <cell r="C494">
            <v>2.4440935074261123E-125</v>
          </cell>
          <cell r="D494">
            <v>7.8867955283936121E-48</v>
          </cell>
        </row>
        <row r="495">
          <cell r="B495">
            <v>0</v>
          </cell>
          <cell r="C495">
            <v>3.2363968105735559E-126</v>
          </cell>
          <cell r="D495">
            <v>2.7494063978411316E-48</v>
          </cell>
        </row>
        <row r="496">
          <cell r="B496">
            <v>0</v>
          </cell>
          <cell r="C496">
            <v>4.2547958935443754E-127</v>
          </cell>
          <cell r="D496">
            <v>9.5336679602087837E-49</v>
          </cell>
        </row>
        <row r="497">
          <cell r="B497">
            <v>0</v>
          </cell>
          <cell r="C497">
            <v>5.553524831593497E-128</v>
          </cell>
          <cell r="D497">
            <v>3.2882424476432628E-49</v>
          </cell>
        </row>
        <row r="498">
          <cell r="B498">
            <v>0</v>
          </cell>
          <cell r="C498">
            <v>7.1966722490881078E-129</v>
          </cell>
          <cell r="D498">
            <v>1.1281071876041198E-49</v>
          </cell>
        </row>
        <row r="499">
          <cell r="B499">
            <v>0</v>
          </cell>
          <cell r="C499">
            <v>9.2590781702407256E-130</v>
          </cell>
          <cell r="D499">
            <v>3.8496356466069319E-50</v>
          </cell>
        </row>
        <row r="500">
          <cell r="B500">
            <v>0</v>
          </cell>
          <cell r="C500">
            <v>1.1827059906082387E-130</v>
          </cell>
          <cell r="D500">
            <v>1.3066871306652229E-50</v>
          </cell>
        </row>
        <row r="501">
          <cell r="B501">
            <v>0</v>
          </cell>
          <cell r="C501">
            <v>1.4998881096517102E-131</v>
          </cell>
          <cell r="D501">
            <v>4.4117035968219694E-51</v>
          </cell>
        </row>
        <row r="502">
          <cell r="B502">
            <v>0</v>
          </cell>
          <cell r="C502">
            <v>1.8884867744898772E-132</v>
          </cell>
          <cell r="D502">
            <v>1.4815754218894308E-51</v>
          </cell>
        </row>
        <row r="503">
          <cell r="B503">
            <v>0</v>
          </cell>
          <cell r="C503">
            <v>2.3607068102534311E-133</v>
          </cell>
          <cell r="D503">
            <v>4.9490737895754122E-52</v>
          </cell>
        </row>
        <row r="504">
          <cell r="B504">
            <v>0</v>
          </cell>
          <cell r="C504">
            <v>2.929835101440193E-134</v>
          </cell>
          <cell r="D504">
            <v>1.6443975431209327E-52</v>
          </cell>
        </row>
        <row r="505">
          <cell r="B505">
            <v>0</v>
          </cell>
          <cell r="C505">
            <v>3.6100841271043949E-135</v>
          </cell>
          <cell r="D505">
            <v>5.4346607012516155E-53</v>
          </cell>
        </row>
        <row r="506">
          <cell r="B506">
            <v>0</v>
          </cell>
          <cell r="C506">
            <v>4.4163601960753227E-136</v>
          </cell>
          <cell r="D506">
            <v>1.7865730443067957E-53</v>
          </cell>
        </row>
        <row r="507">
          <cell r="B507">
            <v>0</v>
          </cell>
          <cell r="C507">
            <v>5.363949385958394E-137</v>
          </cell>
          <cell r="D507">
            <v>5.8418694147674058E-54</v>
          </cell>
        </row>
        <row r="508">
          <cell r="B508">
            <v>0</v>
          </cell>
          <cell r="C508">
            <v>6.4681171196881971E-138</v>
          </cell>
          <cell r="D508">
            <v>1.9000526634999639E-54</v>
          </cell>
        </row>
        <row r="509">
          <cell r="B509">
            <v>0</v>
          </cell>
          <cell r="C509">
            <v>7.7436211778007001E-139</v>
          </cell>
          <cell r="D509">
            <v>6.1469850636225781E-55</v>
          </cell>
        </row>
        <row r="510">
          <cell r="B510">
            <v>0</v>
          </cell>
          <cell r="C510">
            <v>9.2041426802480097E-140</v>
          </cell>
          <cell r="D510">
            <v>1.9780688466942328E-55</v>
          </cell>
        </row>
        <row r="511">
          <cell r="B511">
            <v>0</v>
          </cell>
          <cell r="C511">
            <v>1.0861645032794558E-140</v>
          </cell>
          <cell r="D511">
            <v>6.3314528099751078E-56</v>
          </cell>
        </row>
        <row r="512">
          <cell r="B512">
            <v>0</v>
          </cell>
          <cell r="C512">
            <v>1.2725676786057778E-141</v>
          </cell>
          <cell r="D512">
            <v>2.0158029263385874E-56</v>
          </cell>
        </row>
        <row r="513">
          <cell r="B513">
            <v>0</v>
          </cell>
          <cell r="C513">
            <v>1.4802640480257164E-142</v>
          </cell>
          <cell r="D513">
            <v>6.3837444635928542E-57</v>
          </cell>
        </row>
        <row r="514">
          <cell r="B514">
            <v>0</v>
          </cell>
          <cell r="C514">
            <v>1.7095055449650716E-143</v>
          </cell>
          <cell r="D514">
            <v>2.0108776305800734E-57</v>
          </cell>
        </row>
        <row r="515">
          <cell r="B515">
            <v>0</v>
          </cell>
          <cell r="C515">
            <v>1.9600847784741806E-144</v>
          </cell>
          <cell r="D515">
            <v>6.3005508003221247E-58</v>
          </cell>
        </row>
        <row r="516">
          <cell r="B516">
            <v>0</v>
          </cell>
          <cell r="C516">
            <v>2.2312704716042853E-145</v>
          </cell>
          <cell r="D516">
            <v>1.9636049490756416E-58</v>
          </cell>
        </row>
        <row r="517">
          <cell r="B517">
            <v>0</v>
          </cell>
          <cell r="C517">
            <v>2.5217533116217174E-146</v>
          </cell>
          <cell r="D517">
            <v>6.0871281424929127E-59</v>
          </cell>
        </row>
        <row r="518">
          <cell r="B518">
            <v>0</v>
          </cell>
          <cell r="C518">
            <v>2.8296062191592686E-147</v>
          </cell>
          <cell r="D518">
            <v>1.8769534268485262E-59</v>
          </cell>
        </row>
        <row r="519">
          <cell r="B519">
            <v>0</v>
          </cell>
          <cell r="C519">
            <v>3.1522628415201301E-148</v>
          </cell>
          <cell r="D519">
            <v>5.7567487399932811E-60</v>
          </cell>
        </row>
        <row r="520">
          <cell r="B520">
            <v>0</v>
          </cell>
          <cell r="C520">
            <v>3.4865176141019018E-149</v>
          </cell>
          <cell r="D520">
            <v>1.7562396526062522E-60</v>
          </cell>
        </row>
        <row r="521">
          <cell r="B521">
            <v>0</v>
          </cell>
          <cell r="C521">
            <v>3.8285500101496048E-150</v>
          </cell>
          <cell r="D521">
            <v>5.3293348473851506E-61</v>
          </cell>
        </row>
        <row r="522">
          <cell r="B522">
            <v>0</v>
          </cell>
          <cell r="C522">
            <v>4.173974629073184E-151</v>
          </cell>
          <cell r="D522">
            <v>1.6085885160154889E-61</v>
          </cell>
        </row>
        <row r="523">
          <cell r="B523">
            <v>0</v>
          </cell>
          <cell r="C523">
            <v>4.5179175942269072E-152</v>
          </cell>
          <cell r="D523">
            <v>4.8294719207747482E-62</v>
          </cell>
        </row>
        <row r="524">
          <cell r="B524">
            <v>0</v>
          </cell>
          <cell r="C524">
            <v>4.855118399030507E-153</v>
          </cell>
          <cell r="D524">
            <v>1.4422383937479153E-62</v>
          </cell>
        </row>
        <row r="525">
          <cell r="B525">
            <v>0</v>
          </cell>
          <cell r="C525">
            <v>5.1800549297289773E-154</v>
          </cell>
          <cell r="D525">
            <v>4.2840761899122915E-63</v>
          </cell>
        </row>
        <row r="526">
          <cell r="B526">
            <v>0</v>
          </cell>
          <cell r="C526">
            <v>5.4870879911621328E-155</v>
          </cell>
          <cell r="D526">
            <v>1.2657852919098873E-63</v>
          </cell>
        </row>
        <row r="527">
          <cell r="B527">
            <v>0</v>
          </cell>
          <cell r="C527">
            <v>5.7706203629424148E-156</v>
          </cell>
          <cell r="D527">
            <v>3.7200230418008732E-64</v>
          </cell>
        </row>
        <row r="528">
          <cell r="B528">
            <v>0</v>
          </cell>
          <cell r="C528">
            <v>6.0252643119639361E-157</v>
          </cell>
          <cell r="D528">
            <v>1.0874616261083559E-64</v>
          </cell>
        </row>
        <row r="529">
          <cell r="B529">
            <v>0</v>
          </cell>
          <cell r="C529">
            <v>6.2460106700426424E-158</v>
          </cell>
          <cell r="D529">
            <v>3.1620226560002244E-65</v>
          </cell>
        </row>
        <row r="530">
          <cell r="B530">
            <v>0</v>
          </cell>
          <cell r="C530">
            <v>6.4283921246202697E-159</v>
          </cell>
          <cell r="D530">
            <v>9.1453164950849313E-66</v>
          </cell>
        </row>
        <row r="531">
          <cell r="B531">
            <v>0</v>
          </cell>
          <cell r="C531">
            <v>6.5686333157273691E-160</v>
          </cell>
          <cell r="D531">
            <v>2.630965954488894E-66</v>
          </cell>
        </row>
        <row r="532">
          <cell r="B532">
            <v>0</v>
          </cell>
          <cell r="C532">
            <v>6.6637807068381155E-161</v>
          </cell>
          <cell r="D532">
            <v>7.528603797701266E-67</v>
          </cell>
        </row>
        <row r="533">
          <cell r="B533">
            <v>0</v>
          </cell>
          <cell r="C533">
            <v>6.7118059935568141E-162</v>
          </cell>
          <cell r="D533">
            <v>2.142872751936511E-67</v>
          </cell>
        </row>
        <row r="534">
          <cell r="B534">
            <v>0</v>
          </cell>
          <cell r="C534">
            <v>6.7116779942351317E-163</v>
          </cell>
          <cell r="D534">
            <v>6.0668191434259998E-68</v>
          </cell>
        </row>
        <row r="535">
          <cell r="B535">
            <v>0</v>
          </cell>
          <cell r="C535">
            <v>6.6633994637816321E-164</v>
          </cell>
          <cell r="D535">
            <v>1.7084742608656208E-68</v>
          </cell>
        </row>
        <row r="536">
          <cell r="B536">
            <v>0</v>
          </cell>
          <cell r="C536">
            <v>6.5680069950757028E-165</v>
          </cell>
          <cell r="D536">
            <v>4.7856238266887313E-69</v>
          </cell>
        </row>
        <row r="537">
          <cell r="B537">
            <v>0</v>
          </cell>
          <cell r="C537">
            <v>6.4275340129135462E-166</v>
          </cell>
          <cell r="D537">
            <v>1.3333722165226804E-69</v>
          </cell>
        </row>
        <row r="538">
          <cell r="B538">
            <v>0</v>
          </cell>
          <cell r="C538">
            <v>6.2449387056111903E-167</v>
          </cell>
          <cell r="D538">
            <v>3.6952767615385097E-70</v>
          </cell>
        </row>
        <row r="539">
          <cell r="B539">
            <v>0</v>
          </cell>
          <cell r="C539">
            <v>6.024000461621871E-168</v>
          </cell>
          <cell r="D539">
            <v>1.0186506487884985E-70</v>
          </cell>
        </row>
        <row r="540">
          <cell r="B540">
            <v>0</v>
          </cell>
          <cell r="C540">
            <v>5.769189874227122E-169</v>
          </cell>
          <cell r="D540">
            <v>2.7930987293299729E-71</v>
          </cell>
        </row>
        <row r="541">
          <cell r="B541">
            <v>0</v>
          </cell>
          <cell r="C541">
            <v>5.4855185556273591E-170</v>
          </cell>
          <cell r="D541">
            <v>7.6178082060712451E-72</v>
          </cell>
        </row>
        <row r="542">
          <cell r="B542">
            <v>0</v>
          </cell>
          <cell r="C542">
            <v>5.1783757959347896E-171</v>
          </cell>
          <cell r="D542">
            <v>2.0666003901347835E-72</v>
          </cell>
        </row>
        <row r="543">
          <cell r="B543">
            <v>0</v>
          </cell>
          <cell r="C543">
            <v>4.8533594746845554E-172</v>
          </cell>
          <cell r="D543">
            <v>5.5765513513510438E-73</v>
          </cell>
        </row>
        <row r="544">
          <cell r="B544">
            <v>0</v>
          </cell>
          <cell r="C544">
            <v>4.5161085755444977E-173</v>
          </cell>
          <cell r="D544">
            <v>1.4967788240711784E-73</v>
          </cell>
        </row>
        <row r="545">
          <cell r="B545">
            <v>0</v>
          </cell>
          <cell r="C545">
            <v>4.1721441919666612E-174</v>
          </cell>
          <cell r="D545">
            <v>3.9960625786533081E-74</v>
          </cell>
        </row>
        <row r="546">
          <cell r="B546">
            <v>0</v>
          </cell>
          <cell r="C546">
            <v>3.8267250927096745E-175</v>
          </cell>
          <cell r="D546">
            <v>1.0611814677875598E-74</v>
          </cell>
        </row>
        <row r="547">
          <cell r="B547">
            <v>0</v>
          </cell>
          <cell r="C547">
            <v>3.4847228133842319E-176</v>
          </cell>
          <cell r="D547">
            <v>2.8030429935639944E-75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540B-538D-F74D-8245-093719227C56}">
  <dimension ref="A16:I547"/>
  <sheetViews>
    <sheetView tabSelected="1" workbookViewId="0">
      <selection activeCell="D48" sqref="D48"/>
    </sheetView>
  </sheetViews>
  <sheetFormatPr baseColWidth="10" defaultRowHeight="25" x14ac:dyDescent="0.25"/>
  <cols>
    <col min="1" max="1" width="17" style="1" customWidth="1"/>
    <col min="2" max="2" width="30.83203125" style="1" bestFit="1" customWidth="1"/>
    <col min="3" max="3" width="26.1640625" style="1" bestFit="1" customWidth="1"/>
    <col min="4" max="4" width="28.1640625" style="1" bestFit="1" customWidth="1"/>
    <col min="5" max="7" width="23.83203125" style="1" customWidth="1"/>
    <col min="8" max="9" width="17.5" style="1" bestFit="1" customWidth="1"/>
    <col min="10" max="16384" width="10.83203125" style="1"/>
  </cols>
  <sheetData>
    <row r="16" spans="1:1" x14ac:dyDescent="0.25">
      <c r="A16" s="1" t="s">
        <v>0</v>
      </c>
    </row>
    <row r="17" spans="1:4" x14ac:dyDescent="0.25">
      <c r="A17" s="1" t="s">
        <v>1</v>
      </c>
    </row>
    <row r="18" spans="1:4" x14ac:dyDescent="0.25">
      <c r="A18" s="1" t="s">
        <v>2</v>
      </c>
    </row>
    <row r="20" spans="1:4" x14ac:dyDescent="0.25">
      <c r="A20" s="1" t="s">
        <v>3</v>
      </c>
    </row>
    <row r="22" spans="1:4" x14ac:dyDescent="0.25">
      <c r="A22" s="2" t="s">
        <v>4</v>
      </c>
      <c r="B22" s="2"/>
      <c r="C22" s="2"/>
    </row>
    <row r="23" spans="1:4" ht="31" customHeight="1" x14ac:dyDescent="0.4">
      <c r="A23" s="3" t="s">
        <v>5</v>
      </c>
      <c r="B23" s="3"/>
      <c r="C23" s="3"/>
    </row>
    <row r="24" spans="1:4" x14ac:dyDescent="0.25">
      <c r="A24" s="2" t="s">
        <v>6</v>
      </c>
      <c r="B24" s="2"/>
      <c r="C24" s="2"/>
    </row>
    <row r="26" spans="1:4" x14ac:dyDescent="0.25">
      <c r="A26" s="1" t="s">
        <v>7</v>
      </c>
    </row>
    <row r="27" spans="1:4" x14ac:dyDescent="0.25">
      <c r="A27" s="1" t="s">
        <v>8</v>
      </c>
      <c r="C27" s="4">
        <f>1000 * (1/12)</f>
        <v>83.333333333333329</v>
      </c>
    </row>
    <row r="28" spans="1:4" x14ac:dyDescent="0.25">
      <c r="A28" s="1" t="s">
        <v>9</v>
      </c>
      <c r="D28" s="4">
        <f>SQRT(1000*(1/12)*(1-(1/12)))</f>
        <v>8.7400737347512631</v>
      </c>
    </row>
    <row r="31" spans="1:4" x14ac:dyDescent="0.25">
      <c r="A31" s="1" t="s">
        <v>10</v>
      </c>
    </row>
    <row r="32" spans="1:4" x14ac:dyDescent="0.25">
      <c r="A32" s="1" t="s">
        <v>11</v>
      </c>
      <c r="C32" s="4">
        <f>1000 * (1/6)</f>
        <v>166.66666666666666</v>
      </c>
    </row>
    <row r="33" spans="1:5" x14ac:dyDescent="0.25">
      <c r="A33" s="1" t="s">
        <v>12</v>
      </c>
      <c r="D33" s="4">
        <f>SQRT(1000*(1/6)*(1-(1/6)))</f>
        <v>11.785113019775793</v>
      </c>
    </row>
    <row r="36" spans="1:5" x14ac:dyDescent="0.25">
      <c r="A36" s="1" t="s">
        <v>13</v>
      </c>
    </row>
    <row r="37" spans="1:5" x14ac:dyDescent="0.25">
      <c r="A37" s="1" t="s">
        <v>14</v>
      </c>
      <c r="C37" s="4">
        <f>1000*(1/4)</f>
        <v>250</v>
      </c>
    </row>
    <row r="38" spans="1:5" x14ac:dyDescent="0.25">
      <c r="A38" s="1" t="s">
        <v>15</v>
      </c>
      <c r="D38" s="4">
        <f>SQRT(1000 * (1/4) * (1 - (1/4)))</f>
        <v>13.693063937629153</v>
      </c>
    </row>
    <row r="41" spans="1:5" x14ac:dyDescent="0.25">
      <c r="A41" s="5" t="s">
        <v>16</v>
      </c>
      <c r="B41" s="5"/>
      <c r="C41" s="5"/>
    </row>
    <row r="42" spans="1:5" x14ac:dyDescent="0.25">
      <c r="A42" s="1" t="s">
        <v>17</v>
      </c>
    </row>
    <row r="43" spans="1:5" x14ac:dyDescent="0.25">
      <c r="B43" s="1" t="s">
        <v>18</v>
      </c>
    </row>
    <row r="44" spans="1:5" x14ac:dyDescent="0.25">
      <c r="B44" s="1" t="s">
        <v>19</v>
      </c>
    </row>
    <row r="46" spans="1:5" x14ac:dyDescent="0.25">
      <c r="C46" s="4"/>
      <c r="D46" s="4"/>
    </row>
    <row r="47" spans="1:5" x14ac:dyDescent="0.25">
      <c r="A47" s="1" t="s">
        <v>20</v>
      </c>
      <c r="B47" s="1" t="s">
        <v>7</v>
      </c>
      <c r="C47" s="1" t="s">
        <v>10</v>
      </c>
      <c r="D47" s="1" t="s">
        <v>13</v>
      </c>
      <c r="E47" s="5" t="s">
        <v>21</v>
      </c>
    </row>
    <row r="48" spans="1:5" x14ac:dyDescent="0.25">
      <c r="A48" s="1">
        <v>1</v>
      </c>
      <c r="B48" s="1">
        <f>0.25 * _xlfn.NORM.DIST(A48, 83.3, 8.74, FALSE)</f>
        <v>6.3516783887246281E-22</v>
      </c>
      <c r="C48" s="1">
        <f>0.5* _xlfn.NORM.DIST(A48, 166.7, 11.785, FALSE)</f>
        <v>1.9980187858218562E-45</v>
      </c>
      <c r="D48" s="1">
        <f>0.25 * _xlfn.NORM.DIST(A48, 250, 13.69, FALSE)</f>
        <v>1.0611814677875598E-74</v>
      </c>
      <c r="E48" s="1">
        <f>SUM(B48:D48)</f>
        <v>6.3516783887246281E-22</v>
      </c>
    </row>
    <row r="49" spans="1:5" x14ac:dyDescent="0.25">
      <c r="A49" s="1">
        <v>2</v>
      </c>
      <c r="B49" s="1">
        <f t="shared" ref="B49:B112" si="0">0.25 * _xlfn.NORM.DIST(A49, 83.3, 8.74, FALSE)</f>
        <v>1.8533381713694192E-21</v>
      </c>
      <c r="C49" s="1">
        <f t="shared" ref="C49:C112" si="1">0.5* _xlfn.NORM.DIST(A49, 166.7, 11.785, FALSE)</f>
        <v>6.5641229000010694E-45</v>
      </c>
      <c r="D49" s="1">
        <f t="shared" ref="D49:D112" si="2">0.25 * _xlfn.NORM.DIST(A49, 250, 13.69, FALSE)</f>
        <v>3.9960625786533081E-74</v>
      </c>
      <c r="E49" s="1">
        <f t="shared" ref="E49:E112" si="3">SUM(B49:D49)</f>
        <v>1.8533381713694192E-21</v>
      </c>
    </row>
    <row r="50" spans="1:5" x14ac:dyDescent="0.25">
      <c r="A50" s="1">
        <v>3</v>
      </c>
      <c r="B50" s="1">
        <f t="shared" si="0"/>
        <v>5.3374698612749547E-21</v>
      </c>
      <c r="C50" s="1">
        <f t="shared" si="1"/>
        <v>2.1410502489790791E-44</v>
      </c>
      <c r="D50" s="1">
        <f t="shared" si="2"/>
        <v>1.4967788240711784E-73</v>
      </c>
      <c r="E50" s="1">
        <f t="shared" si="3"/>
        <v>5.3374698612749547E-21</v>
      </c>
    </row>
    <row r="51" spans="1:5" x14ac:dyDescent="0.25">
      <c r="A51" s="1">
        <v>4</v>
      </c>
      <c r="B51" s="1">
        <f t="shared" si="0"/>
        <v>1.5171579438532221E-20</v>
      </c>
      <c r="C51" s="1">
        <f t="shared" si="1"/>
        <v>6.9334603452355302E-44</v>
      </c>
      <c r="D51" s="1">
        <f t="shared" si="2"/>
        <v>5.5765513513510438E-73</v>
      </c>
      <c r="E51" s="1">
        <f t="shared" si="3"/>
        <v>1.5171579438532221E-20</v>
      </c>
    </row>
    <row r="52" spans="1:5" x14ac:dyDescent="0.25">
      <c r="A52" s="1">
        <v>5</v>
      </c>
      <c r="B52" s="1">
        <f t="shared" si="0"/>
        <v>4.256383486188291E-20</v>
      </c>
      <c r="C52" s="1">
        <f t="shared" si="1"/>
        <v>2.2291856145489984E-43</v>
      </c>
      <c r="D52" s="1">
        <f t="shared" si="2"/>
        <v>2.0666003901347835E-72</v>
      </c>
      <c r="E52" s="1">
        <f t="shared" si="3"/>
        <v>4.256383486188291E-20</v>
      </c>
    </row>
    <row r="53" spans="1:5" x14ac:dyDescent="0.25">
      <c r="A53" s="1">
        <v>6</v>
      </c>
      <c r="B53" s="1">
        <f t="shared" si="0"/>
        <v>1.1785969101593514E-19</v>
      </c>
      <c r="C53" s="1">
        <f t="shared" si="1"/>
        <v>7.11566424089232E-43</v>
      </c>
      <c r="D53" s="1">
        <f t="shared" si="2"/>
        <v>7.6178082060712451E-72</v>
      </c>
      <c r="E53" s="1">
        <f t="shared" si="3"/>
        <v>1.1785969101593514E-19</v>
      </c>
    </row>
    <row r="54" spans="1:5" x14ac:dyDescent="0.25">
      <c r="A54" s="1">
        <v>7</v>
      </c>
      <c r="B54" s="1">
        <f t="shared" si="0"/>
        <v>3.2211017319022577E-19</v>
      </c>
      <c r="C54" s="1">
        <f t="shared" si="1"/>
        <v>2.2550578244875431E-42</v>
      </c>
      <c r="D54" s="1">
        <f t="shared" si="2"/>
        <v>2.7930987293299729E-71</v>
      </c>
      <c r="E54" s="1">
        <f t="shared" si="3"/>
        <v>3.2211017319022577E-19</v>
      </c>
    </row>
    <row r="55" spans="1:5" x14ac:dyDescent="0.25">
      <c r="A55" s="1">
        <v>8</v>
      </c>
      <c r="B55" s="1">
        <f t="shared" si="0"/>
        <v>8.688767554723214E-19</v>
      </c>
      <c r="C55" s="1">
        <f t="shared" si="1"/>
        <v>7.0953355312429115E-42</v>
      </c>
      <c r="D55" s="1">
        <f t="shared" si="2"/>
        <v>1.0186506487884985E-70</v>
      </c>
      <c r="E55" s="1">
        <f t="shared" si="3"/>
        <v>8.688767554723214E-19</v>
      </c>
    </row>
    <row r="56" spans="1:5" x14ac:dyDescent="0.25">
      <c r="A56" s="1">
        <v>9</v>
      </c>
      <c r="B56" s="1">
        <f t="shared" si="0"/>
        <v>2.3132709876102186E-18</v>
      </c>
      <c r="C56" s="1">
        <f t="shared" si="1"/>
        <v>2.2164667078176883E-41</v>
      </c>
      <c r="D56" s="1">
        <f t="shared" si="2"/>
        <v>3.6952767615385097E-70</v>
      </c>
      <c r="E56" s="1">
        <f t="shared" si="3"/>
        <v>2.3132709876102186E-18</v>
      </c>
    </row>
    <row r="57" spans="1:5" x14ac:dyDescent="0.25">
      <c r="A57" s="1">
        <v>10</v>
      </c>
      <c r="B57" s="1">
        <f t="shared" si="0"/>
        <v>6.0786821872422289E-18</v>
      </c>
      <c r="C57" s="1">
        <f t="shared" si="1"/>
        <v>6.8742054367607882E-41</v>
      </c>
      <c r="D57" s="1">
        <f t="shared" si="2"/>
        <v>1.3333722165226804E-69</v>
      </c>
      <c r="E57" s="1">
        <f t="shared" si="3"/>
        <v>6.0786821872422289E-18</v>
      </c>
    </row>
    <row r="58" spans="1:5" x14ac:dyDescent="0.25">
      <c r="A58" s="1">
        <v>11</v>
      </c>
      <c r="B58" s="1">
        <f t="shared" si="0"/>
        <v>1.5765471318657311E-17</v>
      </c>
      <c r="C58" s="1">
        <f t="shared" si="1"/>
        <v>2.1166878711526021E-40</v>
      </c>
      <c r="D58" s="1">
        <f t="shared" si="2"/>
        <v>4.7856238266887313E-69</v>
      </c>
      <c r="E58" s="1">
        <f t="shared" si="3"/>
        <v>1.5765471318657311E-17</v>
      </c>
    </row>
    <row r="59" spans="1:5" x14ac:dyDescent="0.25">
      <c r="A59" s="1">
        <v>12</v>
      </c>
      <c r="B59" s="1">
        <f t="shared" si="0"/>
        <v>4.0357018544080117E-17</v>
      </c>
      <c r="C59" s="1">
        <f t="shared" si="1"/>
        <v>6.4708920574300092E-40</v>
      </c>
      <c r="D59" s="1">
        <f t="shared" si="2"/>
        <v>1.7084742608656208E-68</v>
      </c>
      <c r="E59" s="1">
        <f t="shared" si="3"/>
        <v>4.0357018544080117E-17</v>
      </c>
    </row>
    <row r="60" spans="1:5" x14ac:dyDescent="0.25">
      <c r="A60" s="1">
        <v>13</v>
      </c>
      <c r="B60" s="1">
        <f t="shared" si="0"/>
        <v>1.0196374647200615E-16</v>
      </c>
      <c r="C60" s="1">
        <f t="shared" si="1"/>
        <v>1.9640136829396384E-39</v>
      </c>
      <c r="D60" s="1">
        <f t="shared" si="2"/>
        <v>6.0668191434259998E-68</v>
      </c>
      <c r="E60" s="1">
        <f t="shared" si="3"/>
        <v>1.0196374647200615E-16</v>
      </c>
    </row>
    <row r="61" spans="1:5" x14ac:dyDescent="0.25">
      <c r="A61" s="1">
        <v>14</v>
      </c>
      <c r="B61" s="1">
        <f t="shared" si="0"/>
        <v>2.5426529629646361E-16</v>
      </c>
      <c r="C61" s="1">
        <f t="shared" si="1"/>
        <v>5.9183123574217732E-39</v>
      </c>
      <c r="D61" s="1">
        <f t="shared" si="2"/>
        <v>2.142872751936511E-67</v>
      </c>
      <c r="E61" s="1">
        <f t="shared" si="3"/>
        <v>2.5426529629646361E-16</v>
      </c>
    </row>
    <row r="62" spans="1:5" x14ac:dyDescent="0.25">
      <c r="A62" s="1">
        <v>15</v>
      </c>
      <c r="B62" s="1">
        <f t="shared" si="0"/>
        <v>6.2581070535072172E-16</v>
      </c>
      <c r="C62" s="1">
        <f t="shared" si="1"/>
        <v>1.7706155581889107E-38</v>
      </c>
      <c r="D62" s="1">
        <f t="shared" si="2"/>
        <v>7.528603797701266E-67</v>
      </c>
      <c r="E62" s="1">
        <f t="shared" si="3"/>
        <v>6.2581070535072172E-16</v>
      </c>
    </row>
    <row r="63" spans="1:5" x14ac:dyDescent="0.25">
      <c r="A63" s="1">
        <v>16</v>
      </c>
      <c r="B63" s="1">
        <f t="shared" si="0"/>
        <v>1.5202446426307436E-15</v>
      </c>
      <c r="C63" s="1">
        <f t="shared" si="1"/>
        <v>5.2592484674469722E-38</v>
      </c>
      <c r="D63" s="1">
        <f t="shared" si="2"/>
        <v>2.630965954488894E-66</v>
      </c>
      <c r="E63" s="1">
        <f t="shared" si="3"/>
        <v>1.5202446426307436E-15</v>
      </c>
    </row>
    <row r="64" spans="1:5" x14ac:dyDescent="0.25">
      <c r="A64" s="1">
        <v>17</v>
      </c>
      <c r="B64" s="1">
        <f t="shared" si="0"/>
        <v>3.64500870356814E-15</v>
      </c>
      <c r="C64" s="1">
        <f t="shared" si="1"/>
        <v>1.5509440174468518E-37</v>
      </c>
      <c r="D64" s="1">
        <f t="shared" si="2"/>
        <v>9.1453164950849313E-66</v>
      </c>
      <c r="E64" s="1">
        <f t="shared" si="3"/>
        <v>3.64500870356814E-15</v>
      </c>
    </row>
    <row r="65" spans="1:9" x14ac:dyDescent="0.25">
      <c r="A65" s="1">
        <v>18</v>
      </c>
      <c r="B65" s="1">
        <f t="shared" si="0"/>
        <v>8.6257775152966046E-15</v>
      </c>
      <c r="C65" s="1">
        <f t="shared" si="1"/>
        <v>4.5408961996302239E-37</v>
      </c>
      <c r="D65" s="1">
        <f t="shared" si="2"/>
        <v>3.1620226560002244E-65</v>
      </c>
      <c r="E65" s="1">
        <f t="shared" si="3"/>
        <v>8.6257775152966046E-15</v>
      </c>
    </row>
    <row r="66" spans="1:9" x14ac:dyDescent="0.25">
      <c r="A66" s="1">
        <v>19</v>
      </c>
      <c r="B66" s="1">
        <f t="shared" si="0"/>
        <v>2.0147099404239856E-14</v>
      </c>
      <c r="C66" s="1">
        <f t="shared" si="1"/>
        <v>1.3199578002736734E-36</v>
      </c>
      <c r="D66" s="1">
        <f t="shared" si="2"/>
        <v>1.0874616261083559E-64</v>
      </c>
      <c r="E66" s="1">
        <f t="shared" si="3"/>
        <v>2.0147099404239856E-14</v>
      </c>
    </row>
    <row r="67" spans="1:9" x14ac:dyDescent="0.25">
      <c r="A67" s="1">
        <v>20</v>
      </c>
      <c r="B67" s="1">
        <f t="shared" si="0"/>
        <v>4.6445260249210975E-14</v>
      </c>
      <c r="C67" s="1">
        <f t="shared" si="1"/>
        <v>3.8093558047265653E-36</v>
      </c>
      <c r="D67" s="1">
        <f t="shared" si="2"/>
        <v>3.7200230418008732E-64</v>
      </c>
      <c r="E67" s="1">
        <f t="shared" si="3"/>
        <v>4.6445260249210975E-14</v>
      </c>
    </row>
    <row r="68" spans="1:9" x14ac:dyDescent="0.25">
      <c r="A68" s="1">
        <v>21</v>
      </c>
      <c r="B68" s="1">
        <f t="shared" si="0"/>
        <v>1.0567806843668021E-13</v>
      </c>
      <c r="C68" s="1">
        <f t="shared" si="1"/>
        <v>1.0914806748789398E-35</v>
      </c>
      <c r="D68" s="1">
        <f t="shared" si="2"/>
        <v>1.2657852919098873E-63</v>
      </c>
      <c r="E68" s="1">
        <f t="shared" si="3"/>
        <v>1.0567806843668021E-13</v>
      </c>
      <c r="G68" s="1" t="s">
        <v>22</v>
      </c>
    </row>
    <row r="69" spans="1:9" x14ac:dyDescent="0.25">
      <c r="A69" s="1">
        <v>22</v>
      </c>
      <c r="B69" s="1">
        <f t="shared" si="0"/>
        <v>2.3732469271133159E-13</v>
      </c>
      <c r="C69" s="1">
        <f t="shared" si="1"/>
        <v>3.1049426458560481E-35</v>
      </c>
      <c r="D69" s="1">
        <f t="shared" si="2"/>
        <v>4.2840761899122915E-63</v>
      </c>
      <c r="E69" s="1">
        <f t="shared" si="3"/>
        <v>2.3732469271133159E-13</v>
      </c>
      <c r="G69" s="1" t="s">
        <v>23</v>
      </c>
    </row>
    <row r="70" spans="1:9" x14ac:dyDescent="0.25">
      <c r="A70" s="1">
        <v>23</v>
      </c>
      <c r="B70" s="1">
        <f t="shared" si="0"/>
        <v>5.2603613988521411E-13</v>
      </c>
      <c r="C70" s="1">
        <f t="shared" si="1"/>
        <v>8.7692839684836359E-35</v>
      </c>
      <c r="D70" s="1">
        <f t="shared" si="2"/>
        <v>1.4422383937479153E-62</v>
      </c>
      <c r="E70" s="1">
        <f t="shared" si="3"/>
        <v>5.2603613988521411E-13</v>
      </c>
    </row>
    <row r="71" spans="1:9" x14ac:dyDescent="0.25">
      <c r="A71" s="1">
        <v>24</v>
      </c>
      <c r="B71" s="1">
        <f t="shared" si="0"/>
        <v>1.1508078923859814E-12</v>
      </c>
      <c r="C71" s="1">
        <f t="shared" si="1"/>
        <v>2.4589387150930022E-34</v>
      </c>
      <c r="D71" s="1">
        <f t="shared" si="2"/>
        <v>4.8294719207747482E-62</v>
      </c>
      <c r="E71" s="1">
        <f t="shared" si="3"/>
        <v>1.1508078923859814E-12</v>
      </c>
      <c r="G71" s="1" t="s">
        <v>24</v>
      </c>
    </row>
    <row r="72" spans="1:9" x14ac:dyDescent="0.25">
      <c r="A72" s="1">
        <v>25</v>
      </c>
      <c r="B72" s="1">
        <f t="shared" si="0"/>
        <v>2.484875737616213E-12</v>
      </c>
      <c r="C72" s="1">
        <f t="shared" si="1"/>
        <v>6.8454861431110057E-34</v>
      </c>
      <c r="D72" s="1">
        <f t="shared" si="2"/>
        <v>1.6085885160154889E-61</v>
      </c>
      <c r="E72" s="1">
        <f t="shared" si="3"/>
        <v>2.484875737616213E-12</v>
      </c>
      <c r="G72" s="1" t="s">
        <v>25</v>
      </c>
    </row>
    <row r="73" spans="1:9" x14ac:dyDescent="0.25">
      <c r="A73" s="1">
        <v>26</v>
      </c>
      <c r="B73" s="1">
        <f t="shared" si="0"/>
        <v>5.2956724375741187E-12</v>
      </c>
      <c r="C73" s="1">
        <f t="shared" si="1"/>
        <v>1.8920556516557817E-33</v>
      </c>
      <c r="D73" s="1">
        <f t="shared" si="2"/>
        <v>5.3293348473851506E-61</v>
      </c>
      <c r="E73" s="1">
        <f t="shared" si="3"/>
        <v>5.2956724375741187E-12</v>
      </c>
    </row>
    <row r="74" spans="1:9" x14ac:dyDescent="0.25">
      <c r="A74" s="1">
        <v>27</v>
      </c>
      <c r="B74" s="1">
        <f t="shared" si="0"/>
        <v>1.1139152432347E-11</v>
      </c>
      <c r="C74" s="1">
        <f t="shared" si="1"/>
        <v>5.1920221513012159E-33</v>
      </c>
      <c r="D74" s="1">
        <f t="shared" si="2"/>
        <v>1.7562396526062522E-60</v>
      </c>
      <c r="E74" s="1">
        <f t="shared" si="3"/>
        <v>1.1139152432347E-11</v>
      </c>
      <c r="G74" s="1" t="s">
        <v>26</v>
      </c>
    </row>
    <row r="75" spans="1:9" x14ac:dyDescent="0.25">
      <c r="A75" s="1">
        <v>28</v>
      </c>
      <c r="B75" s="1">
        <f t="shared" si="0"/>
        <v>2.3125853732523113E-11</v>
      </c>
      <c r="C75" s="1">
        <f t="shared" si="1"/>
        <v>1.4145300788141934E-32</v>
      </c>
      <c r="D75" s="1">
        <f t="shared" si="2"/>
        <v>5.7567487399932811E-60</v>
      </c>
      <c r="E75" s="1">
        <f t="shared" si="3"/>
        <v>2.3125853732523113E-11</v>
      </c>
      <c r="G75" s="1" t="s">
        <v>27</v>
      </c>
    </row>
    <row r="76" spans="1:9" x14ac:dyDescent="0.25">
      <c r="A76" s="1">
        <v>29</v>
      </c>
      <c r="B76" s="1">
        <f t="shared" si="0"/>
        <v>4.7386867030982636E-11</v>
      </c>
      <c r="C76" s="1">
        <f t="shared" si="1"/>
        <v>3.8261399973363653E-32</v>
      </c>
      <c r="D76" s="1">
        <f t="shared" si="2"/>
        <v>1.8769534268485262E-59</v>
      </c>
      <c r="E76" s="1">
        <f t="shared" si="3"/>
        <v>4.7386867030982636E-11</v>
      </c>
    </row>
    <row r="77" spans="1:9" x14ac:dyDescent="0.25">
      <c r="A77" s="1">
        <v>30</v>
      </c>
      <c r="B77" s="1">
        <f t="shared" si="0"/>
        <v>9.5836912246596916E-11</v>
      </c>
      <c r="C77" s="1">
        <f t="shared" si="1"/>
        <v>1.0275016934708628E-31</v>
      </c>
      <c r="D77" s="1">
        <f t="shared" si="2"/>
        <v>6.0871281424929127E-59</v>
      </c>
      <c r="E77" s="1">
        <f t="shared" si="3"/>
        <v>9.5836912246596916E-11</v>
      </c>
    </row>
    <row r="78" spans="1:9" x14ac:dyDescent="0.25">
      <c r="A78" s="1">
        <v>31</v>
      </c>
      <c r="B78" s="1">
        <f t="shared" si="0"/>
        <v>1.9130319516395673E-10</v>
      </c>
      <c r="C78" s="1">
        <f t="shared" si="1"/>
        <v>2.739537538456824E-31</v>
      </c>
      <c r="D78" s="1">
        <f t="shared" si="2"/>
        <v>1.9636049490756416E-58</v>
      </c>
      <c r="E78" s="1">
        <f t="shared" si="3"/>
        <v>1.9130319516395673E-10</v>
      </c>
      <c r="G78" s="6">
        <v>0.05</v>
      </c>
    </row>
    <row r="79" spans="1:9" x14ac:dyDescent="0.25">
      <c r="A79" s="1">
        <v>32</v>
      </c>
      <c r="B79" s="1">
        <f t="shared" si="0"/>
        <v>3.7690007954797206E-10</v>
      </c>
      <c r="C79" s="1">
        <f t="shared" si="1"/>
        <v>7.2517860881144045E-31</v>
      </c>
      <c r="D79" s="1">
        <f t="shared" si="2"/>
        <v>6.3005508003221247E-58</v>
      </c>
      <c r="E79" s="1">
        <f t="shared" si="3"/>
        <v>3.7690007954797206E-10</v>
      </c>
      <c r="G79" s="1" t="s">
        <v>28</v>
      </c>
    </row>
    <row r="80" spans="1:9" x14ac:dyDescent="0.25">
      <c r="A80" s="1">
        <v>33</v>
      </c>
      <c r="B80" s="1">
        <f t="shared" si="0"/>
        <v>7.3290018108330178E-10</v>
      </c>
      <c r="C80" s="1">
        <f t="shared" si="1"/>
        <v>1.905836910785804E-30</v>
      </c>
      <c r="D80" s="1">
        <f t="shared" si="2"/>
        <v>2.0108776305800734E-57</v>
      </c>
      <c r="E80" s="1">
        <f t="shared" si="3"/>
        <v>7.3290018108330178E-10</v>
      </c>
      <c r="G80" s="1" t="s">
        <v>29</v>
      </c>
      <c r="H80" s="7">
        <f>5%/25%</f>
        <v>0.2</v>
      </c>
      <c r="I80" s="1" t="s">
        <v>30</v>
      </c>
    </row>
    <row r="81" spans="1:9" x14ac:dyDescent="0.25">
      <c r="A81" s="1">
        <v>34</v>
      </c>
      <c r="B81" s="1">
        <f t="shared" si="0"/>
        <v>1.4066240007949101E-9</v>
      </c>
      <c r="C81" s="1">
        <f t="shared" si="1"/>
        <v>4.9727829350727377E-30</v>
      </c>
      <c r="D81" s="1">
        <f t="shared" si="2"/>
        <v>6.3837444635928542E-57</v>
      </c>
      <c r="E81" s="1">
        <f t="shared" si="3"/>
        <v>1.4066240007949101E-9</v>
      </c>
      <c r="G81" s="5">
        <f>_xlfn.NORM.INV(H80, 83.3, 8.74)</f>
        <v>75.944230418572729</v>
      </c>
      <c r="H81" s="1" t="s">
        <v>31</v>
      </c>
    </row>
    <row r="82" spans="1:9" x14ac:dyDescent="0.25">
      <c r="A82" s="1">
        <v>35</v>
      </c>
      <c r="B82" s="1">
        <f t="shared" si="0"/>
        <v>2.6645618909431068E-9</v>
      </c>
      <c r="C82" s="1">
        <f t="shared" si="1"/>
        <v>1.2882088868178227E-29</v>
      </c>
      <c r="D82" s="1">
        <f t="shared" si="2"/>
        <v>2.0158029263385874E-56</v>
      </c>
      <c r="E82" s="1">
        <f t="shared" si="3"/>
        <v>2.6645618909431068E-9</v>
      </c>
    </row>
    <row r="83" spans="1:9" x14ac:dyDescent="0.25">
      <c r="A83" s="1">
        <v>36</v>
      </c>
      <c r="B83" s="1">
        <f t="shared" si="0"/>
        <v>4.981821878636177E-9</v>
      </c>
      <c r="C83" s="1">
        <f t="shared" si="1"/>
        <v>3.313188147179627E-29</v>
      </c>
      <c r="D83" s="1">
        <f t="shared" si="2"/>
        <v>6.3314528099751078E-56</v>
      </c>
      <c r="E83" s="1">
        <f t="shared" si="3"/>
        <v>4.981821878636177E-9</v>
      </c>
      <c r="G83" s="6">
        <v>0.25</v>
      </c>
    </row>
    <row r="84" spans="1:9" x14ac:dyDescent="0.25">
      <c r="A84" s="1">
        <v>37</v>
      </c>
      <c r="B84" s="1">
        <f t="shared" si="0"/>
        <v>9.1931675082614271E-9</v>
      </c>
      <c r="C84" s="1">
        <f t="shared" si="1"/>
        <v>8.4601668252948246E-29</v>
      </c>
      <c r="D84" s="1">
        <f t="shared" si="2"/>
        <v>1.9780688466942328E-55</v>
      </c>
      <c r="E84" s="1">
        <f t="shared" si="3"/>
        <v>9.1931675082614271E-9</v>
      </c>
      <c r="G84" s="1" t="s">
        <v>32</v>
      </c>
    </row>
    <row r="85" spans="1:9" x14ac:dyDescent="0.25">
      <c r="A85" s="1">
        <v>38</v>
      </c>
      <c r="B85" s="1">
        <f t="shared" si="0"/>
        <v>1.6743904788255703E-8</v>
      </c>
      <c r="C85" s="1">
        <f t="shared" si="1"/>
        <v>2.1447899926813685E-28</v>
      </c>
      <c r="D85" s="1">
        <f t="shared" si="2"/>
        <v>6.1469850636225781E-55</v>
      </c>
      <c r="E85" s="1">
        <f t="shared" si="3"/>
        <v>1.6743904788255703E-8</v>
      </c>
      <c r="G85" s="5">
        <f>_xlfn.NORM.INV(0.997, 83.3, 8.74)</f>
        <v>107.31560930878922</v>
      </c>
    </row>
    <row r="86" spans="1:9" x14ac:dyDescent="0.25">
      <c r="A86" s="1">
        <v>39</v>
      </c>
      <c r="B86" s="1">
        <f t="shared" si="0"/>
        <v>3.0099751672612222E-8</v>
      </c>
      <c r="C86" s="1">
        <f t="shared" si="1"/>
        <v>5.3983823632094769E-28</v>
      </c>
      <c r="D86" s="1">
        <f t="shared" si="2"/>
        <v>1.9000526634999639E-54</v>
      </c>
      <c r="E86" s="1">
        <f t="shared" si="3"/>
        <v>3.0099751672612222E-8</v>
      </c>
    </row>
    <row r="87" spans="1:9" x14ac:dyDescent="0.25">
      <c r="A87" s="1">
        <v>40</v>
      </c>
      <c r="B87" s="1">
        <f t="shared" si="0"/>
        <v>5.3405215754494684E-8</v>
      </c>
      <c r="C87" s="1">
        <f t="shared" si="1"/>
        <v>1.3490111188441643E-27</v>
      </c>
      <c r="D87" s="1">
        <f t="shared" si="2"/>
        <v>5.8418694147674058E-54</v>
      </c>
      <c r="E87" s="1">
        <f t="shared" si="3"/>
        <v>5.3405215754494684E-8</v>
      </c>
      <c r="G87" s="6">
        <v>0.5</v>
      </c>
      <c r="H87" s="4">
        <f>(G87 - 0.25) / 0.5</f>
        <v>0.5</v>
      </c>
      <c r="I87" s="1" t="s">
        <v>33</v>
      </c>
    </row>
    <row r="88" spans="1:9" x14ac:dyDescent="0.25">
      <c r="A88" s="1">
        <v>41</v>
      </c>
      <c r="B88" s="1">
        <f t="shared" si="0"/>
        <v>9.3523129252489339E-8</v>
      </c>
      <c r="C88" s="1">
        <f t="shared" si="1"/>
        <v>3.3468822723435868E-27</v>
      </c>
      <c r="D88" s="1">
        <f t="shared" si="2"/>
        <v>1.7865730443067957E-53</v>
      </c>
      <c r="E88" s="1">
        <f t="shared" si="3"/>
        <v>9.3523129252489339E-8</v>
      </c>
      <c r="G88" s="1" t="s">
        <v>34</v>
      </c>
    </row>
    <row r="89" spans="1:9" x14ac:dyDescent="0.25">
      <c r="A89" s="1">
        <v>42</v>
      </c>
      <c r="B89" s="1">
        <f t="shared" si="0"/>
        <v>1.6164749543505766E-7</v>
      </c>
      <c r="C89" s="1">
        <f t="shared" si="1"/>
        <v>8.2440072089688175E-27</v>
      </c>
      <c r="D89" s="1">
        <f t="shared" si="2"/>
        <v>5.4346607012516155E-53</v>
      </c>
      <c r="E89" s="1">
        <f t="shared" si="3"/>
        <v>1.6164749543505766E-7</v>
      </c>
      <c r="G89" s="1" t="s">
        <v>35</v>
      </c>
    </row>
    <row r="90" spans="1:9" x14ac:dyDescent="0.25">
      <c r="A90" s="1">
        <v>43</v>
      </c>
      <c r="B90" s="1">
        <f t="shared" si="0"/>
        <v>2.7576143148198354E-7</v>
      </c>
      <c r="C90" s="1">
        <f t="shared" si="1"/>
        <v>2.0160871860776693E-26</v>
      </c>
      <c r="D90" s="1">
        <f t="shared" si="2"/>
        <v>1.6443975431209327E-52</v>
      </c>
      <c r="E90" s="1">
        <f t="shared" si="3"/>
        <v>2.7576143148198354E-7</v>
      </c>
      <c r="G90" s="5">
        <f>_xlfn.NORM.INV(G87, 166.7, 11.785)</f>
        <v>166.7</v>
      </c>
    </row>
    <row r="91" spans="1:9" x14ac:dyDescent="0.25">
      <c r="A91" s="1">
        <v>44</v>
      </c>
      <c r="B91" s="1">
        <f t="shared" si="0"/>
        <v>4.6431494660374571E-7</v>
      </c>
      <c r="C91" s="1">
        <f t="shared" si="1"/>
        <v>4.8950065304600012E-26</v>
      </c>
      <c r="D91" s="1">
        <f t="shared" si="2"/>
        <v>4.9490737895754122E-52</v>
      </c>
      <c r="E91" s="1">
        <f t="shared" si="3"/>
        <v>4.6431494660374571E-7</v>
      </c>
    </row>
    <row r="92" spans="1:9" x14ac:dyDescent="0.25">
      <c r="A92" s="1">
        <v>45</v>
      </c>
      <c r="B92" s="1">
        <f t="shared" si="0"/>
        <v>7.7162519173214834E-7</v>
      </c>
      <c r="C92" s="1">
        <f t="shared" si="1"/>
        <v>1.1799680864738277E-25</v>
      </c>
      <c r="D92" s="1">
        <f t="shared" si="2"/>
        <v>1.4815754218894308E-51</v>
      </c>
      <c r="E92" s="1">
        <f t="shared" si="3"/>
        <v>7.7162519173214834E-7</v>
      </c>
      <c r="G92" s="6">
        <v>0.75</v>
      </c>
    </row>
    <row r="93" spans="1:9" x14ac:dyDescent="0.25">
      <c r="A93" s="1">
        <v>46</v>
      </c>
      <c r="B93" s="1">
        <f t="shared" si="0"/>
        <v>1.2656532135178412E-6</v>
      </c>
      <c r="C93" s="1">
        <f t="shared" si="1"/>
        <v>2.8239712254953849E-25</v>
      </c>
      <c r="D93" s="1">
        <f t="shared" si="2"/>
        <v>4.4117035968219694E-51</v>
      </c>
      <c r="E93" s="1">
        <f t="shared" si="3"/>
        <v>1.2656532135178412E-6</v>
      </c>
      <c r="G93" s="1" t="s">
        <v>36</v>
      </c>
    </row>
    <row r="94" spans="1:9" x14ac:dyDescent="0.25">
      <c r="A94" s="1">
        <v>47</v>
      </c>
      <c r="B94" s="1">
        <f t="shared" si="0"/>
        <v>2.0489796678985807E-6</v>
      </c>
      <c r="C94" s="1">
        <f t="shared" si="1"/>
        <v>6.7100119356304689E-25</v>
      </c>
      <c r="D94" s="1">
        <f t="shared" si="2"/>
        <v>1.3066871306652229E-50</v>
      </c>
      <c r="E94" s="1">
        <f t="shared" si="3"/>
        <v>2.0489796678985807E-6</v>
      </c>
      <c r="G94" s="5">
        <f>_xlfn.NORM.INV(0.997, 166.7, 11.785)</f>
        <v>199.08260362746921</v>
      </c>
    </row>
    <row r="95" spans="1:9" x14ac:dyDescent="0.25">
      <c r="A95" s="1">
        <v>48</v>
      </c>
      <c r="B95" s="1">
        <f t="shared" si="0"/>
        <v>3.2739735474577423E-6</v>
      </c>
      <c r="C95" s="1">
        <f t="shared" si="1"/>
        <v>1.5829213541295568E-24</v>
      </c>
      <c r="D95" s="1">
        <f t="shared" si="2"/>
        <v>3.8496356466069319E-50</v>
      </c>
      <c r="E95" s="1">
        <f t="shared" si="3"/>
        <v>3.2739735474577423E-6</v>
      </c>
    </row>
    <row r="96" spans="1:9" x14ac:dyDescent="0.25">
      <c r="A96" s="1">
        <v>49</v>
      </c>
      <c r="B96" s="1">
        <f t="shared" si="0"/>
        <v>5.1632990317240367E-6</v>
      </c>
      <c r="C96" s="1">
        <f t="shared" si="1"/>
        <v>3.7073910988280236E-24</v>
      </c>
      <c r="D96" s="1">
        <f t="shared" si="2"/>
        <v>1.1281071876041198E-49</v>
      </c>
      <c r="E96" s="1">
        <f t="shared" si="3"/>
        <v>5.1632990317240367E-6</v>
      </c>
      <c r="G96" s="6">
        <v>0.95</v>
      </c>
      <c r="H96" s="4">
        <f xml:space="preserve"> (G96 - 0.75) / 0.25</f>
        <v>0.79999999999999982</v>
      </c>
      <c r="I96" s="1" t="s">
        <v>37</v>
      </c>
    </row>
    <row r="97" spans="1:7" x14ac:dyDescent="0.25">
      <c r="A97" s="1">
        <v>50</v>
      </c>
      <c r="B97" s="1">
        <f t="shared" si="0"/>
        <v>8.037000291913579E-6</v>
      </c>
      <c r="C97" s="1">
        <f t="shared" si="1"/>
        <v>8.6208579212585566E-24</v>
      </c>
      <c r="D97" s="1">
        <f t="shared" si="2"/>
        <v>3.2882424476432628E-49</v>
      </c>
      <c r="E97" s="1">
        <f t="shared" si="3"/>
        <v>8.037000291913579E-6</v>
      </c>
      <c r="G97" s="1" t="s">
        <v>38</v>
      </c>
    </row>
    <row r="98" spans="1:7" x14ac:dyDescent="0.25">
      <c r="A98" s="1">
        <v>51</v>
      </c>
      <c r="B98" s="1">
        <f t="shared" si="0"/>
        <v>1.2347393383076358E-5</v>
      </c>
      <c r="C98" s="1">
        <f t="shared" si="1"/>
        <v>1.990240649098371E-23</v>
      </c>
      <c r="D98" s="1">
        <f t="shared" si="2"/>
        <v>9.5336679602087837E-49</v>
      </c>
      <c r="E98" s="1">
        <f t="shared" si="3"/>
        <v>1.2347393383076358E-5</v>
      </c>
      <c r="G98" s="5">
        <f>_xlfn.NORM.INV(H96, 250, 13.69)</f>
        <v>261.52179468761318</v>
      </c>
    </row>
    <row r="99" spans="1:7" x14ac:dyDescent="0.25">
      <c r="A99" s="1">
        <v>52</v>
      </c>
      <c r="B99" s="1">
        <f t="shared" si="0"/>
        <v>1.8722816464021627E-5</v>
      </c>
      <c r="C99" s="1">
        <f t="shared" si="1"/>
        <v>4.5617734828092348E-23</v>
      </c>
      <c r="D99" s="1">
        <f t="shared" si="2"/>
        <v>2.7494063978411316E-48</v>
      </c>
      <c r="E99" s="1">
        <f t="shared" si="3"/>
        <v>1.8722816464021627E-5</v>
      </c>
    </row>
    <row r="100" spans="1:7" x14ac:dyDescent="0.25">
      <c r="A100" s="1">
        <v>53</v>
      </c>
      <c r="B100" s="1">
        <f t="shared" si="0"/>
        <v>2.8020873513582308E-5</v>
      </c>
      <c r="C100" s="1">
        <f t="shared" si="1"/>
        <v>1.0380896483666459E-22</v>
      </c>
      <c r="D100" s="1">
        <f t="shared" si="2"/>
        <v>7.8867955283936121E-48</v>
      </c>
      <c r="E100" s="1">
        <f t="shared" si="3"/>
        <v>2.8020873513582308E-5</v>
      </c>
    </row>
    <row r="101" spans="1:7" x14ac:dyDescent="0.25">
      <c r="A101" s="1">
        <v>54</v>
      </c>
      <c r="B101" s="1">
        <f t="shared" si="0"/>
        <v>4.1391079570111477E-5</v>
      </c>
      <c r="C101" s="1">
        <f t="shared" si="1"/>
        <v>2.3453573543979305E-22</v>
      </c>
      <c r="D101" s="1">
        <f t="shared" si="2"/>
        <v>2.2503234713783892E-47</v>
      </c>
      <c r="E101" s="1">
        <f t="shared" si="3"/>
        <v>4.1391079570111477E-5</v>
      </c>
    </row>
    <row r="102" spans="1:7" x14ac:dyDescent="0.25">
      <c r="A102" s="1">
        <v>55</v>
      </c>
      <c r="B102" s="1">
        <f t="shared" si="0"/>
        <v>6.0345714336599745E-5</v>
      </c>
      <c r="C102" s="1">
        <f t="shared" si="1"/>
        <v>5.2608534944640151E-22</v>
      </c>
      <c r="D102" s="1">
        <f t="shared" si="2"/>
        <v>6.3866342299732816E-47</v>
      </c>
      <c r="E102" s="1">
        <f t="shared" si="3"/>
        <v>6.0345714336599745E-5</v>
      </c>
    </row>
    <row r="103" spans="1:7" x14ac:dyDescent="0.25">
      <c r="A103" s="1">
        <v>56</v>
      </c>
      <c r="B103" s="1">
        <f t="shared" si="0"/>
        <v>8.6836179107589254E-5</v>
      </c>
      <c r="C103" s="1">
        <f t="shared" si="1"/>
        <v>1.1715920360712205E-21</v>
      </c>
      <c r="D103" s="1">
        <f t="shared" si="2"/>
        <v>1.802942451049822E-46</v>
      </c>
      <c r="E103" s="1">
        <f t="shared" si="3"/>
        <v>8.6836179107589254E-5</v>
      </c>
    </row>
    <row r="104" spans="1:7" x14ac:dyDescent="0.25">
      <c r="A104" s="1">
        <v>57</v>
      </c>
      <c r="B104" s="1">
        <f t="shared" si="0"/>
        <v>1.2333023908099215E-4</v>
      </c>
      <c r="C104" s="1">
        <f t="shared" si="1"/>
        <v>2.5904167158977928E-21</v>
      </c>
      <c r="D104" s="1">
        <f t="shared" si="2"/>
        <v>5.0626092760706466E-46</v>
      </c>
      <c r="E104" s="1">
        <f t="shared" si="3"/>
        <v>1.2333023908099215E-4</v>
      </c>
    </row>
    <row r="105" spans="1:7" x14ac:dyDescent="0.25">
      <c r="A105" s="1">
        <v>58</v>
      </c>
      <c r="B105" s="1">
        <f t="shared" si="0"/>
        <v>1.7288329672386757E-4</v>
      </c>
      <c r="C105" s="1">
        <f t="shared" si="1"/>
        <v>5.6863799744259796E-21</v>
      </c>
      <c r="D105" s="1">
        <f t="shared" si="2"/>
        <v>1.414000888789073E-45</v>
      </c>
      <c r="E105" s="1">
        <f t="shared" si="3"/>
        <v>1.7288329672386757E-4</v>
      </c>
    </row>
    <row r="106" spans="1:7" x14ac:dyDescent="0.25">
      <c r="A106" s="1">
        <v>59</v>
      </c>
      <c r="B106" s="1">
        <f t="shared" si="0"/>
        <v>2.3919444649338702E-4</v>
      </c>
      <c r="C106" s="1">
        <f t="shared" si="1"/>
        <v>1.2392962604202373E-20</v>
      </c>
      <c r="D106" s="1">
        <f t="shared" si="2"/>
        <v>3.9283274363709304E-45</v>
      </c>
      <c r="E106" s="1">
        <f t="shared" si="3"/>
        <v>2.3919444649338702E-4</v>
      </c>
    </row>
    <row r="107" spans="1:7" x14ac:dyDescent="0.25">
      <c r="A107" s="1">
        <v>60</v>
      </c>
      <c r="B107" s="1">
        <f t="shared" si="0"/>
        <v>3.2663577042330006E-4</v>
      </c>
      <c r="C107" s="1">
        <f t="shared" si="1"/>
        <v>2.6815593994355783E-20</v>
      </c>
      <c r="D107" s="1">
        <f t="shared" si="2"/>
        <v>1.0855464309836431E-44</v>
      </c>
      <c r="E107" s="1">
        <f t="shared" si="3"/>
        <v>3.2663577042330006E-4</v>
      </c>
    </row>
    <row r="108" spans="1:7" x14ac:dyDescent="0.25">
      <c r="A108" s="1">
        <v>61</v>
      </c>
      <c r="B108" s="1">
        <f t="shared" si="0"/>
        <v>4.402415095158984E-4</v>
      </c>
      <c r="C108" s="1">
        <f t="shared" si="1"/>
        <v>5.7606663676369386E-20</v>
      </c>
      <c r="D108" s="1">
        <f t="shared" si="2"/>
        <v>2.9838147281941791E-44</v>
      </c>
      <c r="E108" s="1">
        <f t="shared" si="3"/>
        <v>4.4024150951589846E-4</v>
      </c>
    </row>
    <row r="109" spans="1:7" x14ac:dyDescent="0.25">
      <c r="A109" s="1">
        <v>62</v>
      </c>
      <c r="B109" s="1">
        <f t="shared" si="0"/>
        <v>5.8564282788708477E-4</v>
      </c>
      <c r="C109" s="1">
        <f t="shared" si="1"/>
        <v>1.2286580921347893E-19</v>
      </c>
      <c r="D109" s="1">
        <f t="shared" si="2"/>
        <v>8.1578934489362788E-44</v>
      </c>
      <c r="E109" s="1">
        <f t="shared" si="3"/>
        <v>5.8564282788708488E-4</v>
      </c>
    </row>
    <row r="110" spans="1:7" x14ac:dyDescent="0.25">
      <c r="A110" s="1">
        <v>63</v>
      </c>
      <c r="B110" s="1">
        <f t="shared" si="0"/>
        <v>7.6893435248707239E-4</v>
      </c>
      <c r="C110" s="1">
        <f t="shared" si="1"/>
        <v>2.6017309713108111E-19</v>
      </c>
      <c r="D110" s="1">
        <f t="shared" si="2"/>
        <v>2.2185382961492282E-43</v>
      </c>
      <c r="E110" s="1">
        <f t="shared" si="3"/>
        <v>7.6893435248707261E-4</v>
      </c>
    </row>
    <row r="111" spans="1:7" x14ac:dyDescent="0.25">
      <c r="A111" s="1">
        <v>64</v>
      </c>
      <c r="B111" s="1">
        <f t="shared" si="0"/>
        <v>9.9646097016772655E-4</v>
      </c>
      <c r="C111" s="1">
        <f t="shared" si="1"/>
        <v>5.4697408214141522E-19</v>
      </c>
      <c r="D111" s="1">
        <f t="shared" si="2"/>
        <v>6.0012063056476348E-43</v>
      </c>
      <c r="E111" s="1">
        <f t="shared" si="3"/>
        <v>9.964609701677272E-4</v>
      </c>
    </row>
    <row r="112" spans="1:7" x14ac:dyDescent="0.25">
      <c r="A112" s="1">
        <v>65</v>
      </c>
      <c r="B112" s="1">
        <f t="shared" si="0"/>
        <v>1.274517832500369E-3</v>
      </c>
      <c r="C112" s="1">
        <f t="shared" si="1"/>
        <v>1.1416793062739171E-18</v>
      </c>
      <c r="D112" s="1">
        <f t="shared" si="2"/>
        <v>1.6147039580598279E-42</v>
      </c>
      <c r="E112" s="1">
        <f t="shared" si="3"/>
        <v>1.27451783250037E-3</v>
      </c>
    </row>
    <row r="113" spans="1:5" x14ac:dyDescent="0.25">
      <c r="A113" s="1">
        <v>66</v>
      </c>
      <c r="B113" s="1">
        <f t="shared" ref="B113:B176" si="4">0.25 * _xlfn.NORM.DIST(A113, 83.3, 8.74, FALSE)</f>
        <v>1.6089632862961595E-3</v>
      </c>
      <c r="C113" s="1">
        <f t="shared" ref="C113:C176" si="5">0.5* _xlfn.NORM.DIST(A113, 166.7, 11.785, FALSE)</f>
        <v>2.3658898988606357E-18</v>
      </c>
      <c r="D113" s="1">
        <f t="shared" ref="D113:D176" si="6">0.25 * _xlfn.NORM.DIST(A113, 250, 13.69, FALSE)</f>
        <v>4.3214549367965464E-42</v>
      </c>
      <c r="E113" s="1">
        <f t="shared" ref="E113:E176" si="7">SUM(B113:D113)</f>
        <v>1.6089632862961618E-3</v>
      </c>
    </row>
    <row r="114" spans="1:5" x14ac:dyDescent="0.25">
      <c r="A114" s="1">
        <v>67</v>
      </c>
      <c r="B114" s="1">
        <f t="shared" si="4"/>
        <v>2.0047533457149161E-3</v>
      </c>
      <c r="C114" s="1">
        <f t="shared" si="5"/>
        <v>4.8676343885519742E-18</v>
      </c>
      <c r="D114" s="1">
        <f t="shared" si="6"/>
        <v>1.1504024376099296E-41</v>
      </c>
      <c r="E114" s="1">
        <f t="shared" si="7"/>
        <v>2.0047533457149208E-3</v>
      </c>
    </row>
    <row r="115" spans="1:5" x14ac:dyDescent="0.25">
      <c r="A115" s="1">
        <v>68</v>
      </c>
      <c r="B115" s="1">
        <f t="shared" si="4"/>
        <v>2.4654168166763999E-3</v>
      </c>
      <c r="C115" s="1">
        <f t="shared" si="5"/>
        <v>9.9429302066441283E-18</v>
      </c>
      <c r="D115" s="1">
        <f t="shared" si="6"/>
        <v>3.0461572841581738E-41</v>
      </c>
      <c r="E115" s="1">
        <f t="shared" si="7"/>
        <v>2.4654168166764099E-3</v>
      </c>
    </row>
    <row r="116" spans="1:5" x14ac:dyDescent="0.25">
      <c r="A116" s="1">
        <v>69</v>
      </c>
      <c r="B116" s="1">
        <f t="shared" si="4"/>
        <v>2.9925013536609194E-3</v>
      </c>
      <c r="C116" s="1">
        <f t="shared" si="5"/>
        <v>2.0164332541267024E-17</v>
      </c>
      <c r="D116" s="1">
        <f t="shared" si="6"/>
        <v>8.0230145561725584E-41</v>
      </c>
      <c r="E116" s="1">
        <f t="shared" si="7"/>
        <v>2.9925013536609394E-3</v>
      </c>
    </row>
    <row r="117" spans="1:5" x14ac:dyDescent="0.25">
      <c r="A117" s="1">
        <v>70</v>
      </c>
      <c r="B117" s="1">
        <f t="shared" si="4"/>
        <v>3.5850312985860017E-3</v>
      </c>
      <c r="C117" s="1">
        <f t="shared" si="5"/>
        <v>4.0600027790535251E-17</v>
      </c>
      <c r="D117" s="1">
        <f t="shared" si="6"/>
        <v>2.1018686004678595E-40</v>
      </c>
      <c r="E117" s="1">
        <f t="shared" si="7"/>
        <v>3.5850312985860424E-3</v>
      </c>
    </row>
    <row r="118" spans="1:5" x14ac:dyDescent="0.25">
      <c r="A118" s="1">
        <v>71</v>
      </c>
      <c r="B118" s="1">
        <f t="shared" si="4"/>
        <v>4.2390266029381464E-3</v>
      </c>
      <c r="C118" s="1">
        <f t="shared" si="5"/>
        <v>8.1159961143506678E-17</v>
      </c>
      <c r="D118" s="1">
        <f t="shared" si="6"/>
        <v>5.4771706270171634E-40</v>
      </c>
      <c r="E118" s="1">
        <f t="shared" si="7"/>
        <v>4.2390266029382279E-3</v>
      </c>
    </row>
    <row r="119" spans="1:5" x14ac:dyDescent="0.25">
      <c r="A119" s="1">
        <v>72</v>
      </c>
      <c r="B119" s="1">
        <f t="shared" si="4"/>
        <v>4.9471368831879407E-3</v>
      </c>
      <c r="C119" s="1">
        <f t="shared" si="5"/>
        <v>1.6107581957746602E-16</v>
      </c>
      <c r="D119" s="1">
        <f t="shared" si="6"/>
        <v>1.4196775163525085E-39</v>
      </c>
      <c r="E119" s="1">
        <f t="shared" si="7"/>
        <v>4.9471368831881021E-3</v>
      </c>
    </row>
    <row r="120" spans="1:5" x14ac:dyDescent="0.25">
      <c r="A120" s="1">
        <v>73</v>
      </c>
      <c r="B120" s="1">
        <f t="shared" si="4"/>
        <v>5.6984442872173337E-3</v>
      </c>
      <c r="C120" s="1">
        <f t="shared" si="5"/>
        <v>3.1738901306705501E-16</v>
      </c>
      <c r="D120" s="1">
        <f t="shared" si="6"/>
        <v>3.6602088284479333E-39</v>
      </c>
      <c r="E120" s="1">
        <f t="shared" si="7"/>
        <v>5.6984442872176511E-3</v>
      </c>
    </row>
    <row r="121" spans="1:5" x14ac:dyDescent="0.25">
      <c r="A121" s="1">
        <v>74</v>
      </c>
      <c r="B121" s="1">
        <f t="shared" si="4"/>
        <v>6.4784823602272602E-3</v>
      </c>
      <c r="C121" s="1">
        <f t="shared" si="5"/>
        <v>6.2090684515020991E-16</v>
      </c>
      <c r="D121" s="1">
        <f t="shared" si="6"/>
        <v>9.3865230264518997E-39</v>
      </c>
      <c r="E121" s="1">
        <f t="shared" si="7"/>
        <v>6.4784823602278812E-3</v>
      </c>
    </row>
    <row r="122" spans="1:5" x14ac:dyDescent="0.25">
      <c r="A122" s="1">
        <v>75</v>
      </c>
      <c r="B122" s="1">
        <f t="shared" si="4"/>
        <v>7.2695051587823231E-3</v>
      </c>
      <c r="C122" s="1">
        <f t="shared" si="5"/>
        <v>1.2059631190094027E-15</v>
      </c>
      <c r="D122" s="1">
        <f t="shared" si="6"/>
        <v>2.3943429796481106E-38</v>
      </c>
      <c r="E122" s="1">
        <f t="shared" si="7"/>
        <v>7.2695051587835288E-3</v>
      </c>
    </row>
    <row r="123" spans="1:5" x14ac:dyDescent="0.25">
      <c r="A123" s="1">
        <v>76</v>
      </c>
      <c r="B123" s="1">
        <f t="shared" si="4"/>
        <v>8.0510219753611063E-3</v>
      </c>
      <c r="C123" s="1">
        <f t="shared" si="5"/>
        <v>2.3254907945254604E-15</v>
      </c>
      <c r="D123" s="1">
        <f t="shared" si="6"/>
        <v>6.075061779451803E-38</v>
      </c>
      <c r="E123" s="1">
        <f t="shared" si="7"/>
        <v>8.0510219753634326E-3</v>
      </c>
    </row>
    <row r="124" spans="1:5" x14ac:dyDescent="0.25">
      <c r="A124" s="1">
        <v>77</v>
      </c>
      <c r="B124" s="1">
        <f t="shared" si="4"/>
        <v>8.8005896124690106E-3</v>
      </c>
      <c r="C124" s="1">
        <f t="shared" si="5"/>
        <v>4.4521341597753893E-15</v>
      </c>
      <c r="D124" s="1">
        <f t="shared" si="6"/>
        <v>1.5331962982898631E-37</v>
      </c>
      <c r="E124" s="1">
        <f t="shared" si="7"/>
        <v>8.8005896124734619E-3</v>
      </c>
    </row>
    <row r="125" spans="1:5" x14ac:dyDescent="0.25">
      <c r="A125" s="1">
        <v>78</v>
      </c>
      <c r="B125" s="1">
        <f t="shared" si="4"/>
        <v>9.4948284291922567E-3</v>
      </c>
      <c r="C125" s="1">
        <f t="shared" si="5"/>
        <v>8.4624259351765917E-15</v>
      </c>
      <c r="D125" s="1">
        <f t="shared" si="6"/>
        <v>3.8488195610892741E-37</v>
      </c>
      <c r="E125" s="1">
        <f t="shared" si="7"/>
        <v>9.4948284292007187E-3</v>
      </c>
    </row>
    <row r="126" spans="1:5" x14ac:dyDescent="0.25">
      <c r="A126" s="1">
        <v>79</v>
      </c>
      <c r="B126" s="1">
        <f t="shared" si="4"/>
        <v>1.0110603234667769E-2</v>
      </c>
      <c r="C126" s="1">
        <f t="shared" si="5"/>
        <v>1.5969618387883787E-14</v>
      </c>
      <c r="D126" s="1">
        <f t="shared" si="6"/>
        <v>9.6103690649912278E-37</v>
      </c>
      <c r="E126" s="1">
        <f t="shared" si="7"/>
        <v>1.0110603234683739E-2</v>
      </c>
    </row>
    <row r="127" spans="1:5" x14ac:dyDescent="0.25">
      <c r="A127" s="1">
        <v>80</v>
      </c>
      <c r="B127" s="1">
        <f t="shared" si="4"/>
        <v>1.0626288651273765E-2</v>
      </c>
      <c r="C127" s="1">
        <f t="shared" si="5"/>
        <v>2.9920387630349038E-14</v>
      </c>
      <c r="D127" s="1">
        <f t="shared" si="6"/>
        <v>2.3869059492847783E-36</v>
      </c>
      <c r="E127" s="1">
        <f t="shared" si="7"/>
        <v>1.0626288651303686E-2</v>
      </c>
    </row>
    <row r="128" spans="1:5" x14ac:dyDescent="0.25">
      <c r="A128" s="1">
        <v>81</v>
      </c>
      <c r="B128" s="1">
        <f t="shared" si="4"/>
        <v>1.1023023779147555E-2</v>
      </c>
      <c r="C128" s="1">
        <f t="shared" si="5"/>
        <v>5.5656118217049863E-14</v>
      </c>
      <c r="D128" s="1">
        <f t="shared" si="6"/>
        <v>5.896757575145024E-36</v>
      </c>
      <c r="E128" s="1">
        <f t="shared" si="7"/>
        <v>1.1023023779203212E-2</v>
      </c>
    </row>
    <row r="129" spans="1:5" x14ac:dyDescent="0.25">
      <c r="A129" s="1">
        <v>82</v>
      </c>
      <c r="B129" s="1">
        <f t="shared" si="4"/>
        <v>1.1285855208491633E-2</v>
      </c>
      <c r="C129" s="1">
        <f t="shared" si="5"/>
        <v>1.0278544718899834E-13</v>
      </c>
      <c r="D129" s="1">
        <f t="shared" si="6"/>
        <v>1.4490186198286898E-35</v>
      </c>
      <c r="E129" s="1">
        <f t="shared" si="7"/>
        <v>1.1285855208594419E-2</v>
      </c>
    </row>
    <row r="130" spans="1:5" x14ac:dyDescent="0.25">
      <c r="A130" s="1">
        <v>83</v>
      </c>
      <c r="B130" s="1">
        <f t="shared" si="4"/>
        <v>1.1404671978725679E-2</v>
      </c>
      <c r="C130" s="1">
        <f t="shared" si="5"/>
        <v>1.8846181371349572E-13</v>
      </c>
      <c r="D130" s="1">
        <f t="shared" si="6"/>
        <v>3.5417457756623727E-35</v>
      </c>
      <c r="E130" s="1">
        <f t="shared" si="7"/>
        <v>1.1404671978914141E-2</v>
      </c>
    </row>
    <row r="131" spans="1:5" x14ac:dyDescent="0.25">
      <c r="A131" s="1">
        <v>84</v>
      </c>
      <c r="B131" s="1">
        <f t="shared" si="4"/>
        <v>1.1374851026121003E-2</v>
      </c>
      <c r="C131" s="1">
        <f t="shared" si="5"/>
        <v>3.4307425012417196E-13</v>
      </c>
      <c r="D131" s="1">
        <f t="shared" si="6"/>
        <v>8.6108005295042051E-35</v>
      </c>
      <c r="E131" s="1">
        <f t="shared" si="7"/>
        <v>1.1374851026464078E-2</v>
      </c>
    </row>
    <row r="132" spans="1:5" x14ac:dyDescent="0.25">
      <c r="A132" s="1">
        <v>85</v>
      </c>
      <c r="B132" s="1">
        <f t="shared" si="4"/>
        <v>1.119755568618405E-2</v>
      </c>
      <c r="C132" s="1">
        <f t="shared" si="5"/>
        <v>6.2004883936947312E-13</v>
      </c>
      <c r="D132" s="1">
        <f t="shared" si="6"/>
        <v>2.0823436312965268E-34</v>
      </c>
      <c r="E132" s="1">
        <f t="shared" si="7"/>
        <v>1.1197555686804099E-2</v>
      </c>
    </row>
    <row r="133" spans="1:5" x14ac:dyDescent="0.25">
      <c r="A133" s="1">
        <v>86</v>
      </c>
      <c r="B133" s="1">
        <f t="shared" si="4"/>
        <v>1.0879660384002897E-2</v>
      </c>
      <c r="C133" s="1">
        <f t="shared" si="5"/>
        <v>1.1125939520144555E-12</v>
      </c>
      <c r="D133" s="1">
        <f t="shared" si="6"/>
        <v>5.0089188415898797E-34</v>
      </c>
      <c r="E133" s="1">
        <f t="shared" si="7"/>
        <v>1.0879660385115491E-2</v>
      </c>
    </row>
    <row r="134" spans="1:5" x14ac:dyDescent="0.25">
      <c r="A134" s="1">
        <v>87</v>
      </c>
      <c r="B134" s="1">
        <f t="shared" si="4"/>
        <v>1.0433308308390205E-2</v>
      </c>
      <c r="C134" s="1">
        <f t="shared" si="5"/>
        <v>1.9820769473818827E-12</v>
      </c>
      <c r="D134" s="1">
        <f t="shared" si="6"/>
        <v>1.1984455766907079E-33</v>
      </c>
      <c r="E134" s="1">
        <f t="shared" si="7"/>
        <v>1.0433308310372282E-2</v>
      </c>
    </row>
    <row r="135" spans="1:5" x14ac:dyDescent="0.25">
      <c r="A135" s="1">
        <v>88</v>
      </c>
      <c r="B135" s="1">
        <f t="shared" si="4"/>
        <v>9.8751417432161332E-3</v>
      </c>
      <c r="C135" s="1">
        <f t="shared" si="5"/>
        <v>3.5057209656438315E-12</v>
      </c>
      <c r="D135" s="1">
        <f t="shared" si="6"/>
        <v>2.8521697176101806E-33</v>
      </c>
      <c r="E135" s="1">
        <f t="shared" si="7"/>
        <v>9.875141746721855E-3</v>
      </c>
    </row>
    <row r="136" spans="1:5" x14ac:dyDescent="0.25">
      <c r="A136" s="1">
        <v>89</v>
      </c>
      <c r="B136" s="1">
        <f t="shared" si="4"/>
        <v>9.2252730514609822E-3</v>
      </c>
      <c r="C136" s="1">
        <f t="shared" si="5"/>
        <v>6.1561217607509803E-12</v>
      </c>
      <c r="D136" s="1">
        <f t="shared" si="6"/>
        <v>6.7517311109654149E-33</v>
      </c>
      <c r="E136" s="1">
        <f t="shared" si="7"/>
        <v>9.2252730576171046E-3</v>
      </c>
    </row>
    <row r="137" spans="1:5" x14ac:dyDescent="0.25">
      <c r="A137" s="1">
        <v>90</v>
      </c>
      <c r="B137" s="1">
        <f t="shared" si="4"/>
        <v>8.5060849404284492E-3</v>
      </c>
      <c r="C137" s="1">
        <f t="shared" si="5"/>
        <v>1.0732726834637185E-11</v>
      </c>
      <c r="D137" s="1">
        <f t="shared" si="6"/>
        <v>1.5897822272069031E-32</v>
      </c>
      <c r="E137" s="1">
        <f t="shared" si="7"/>
        <v>8.5060849511611764E-3</v>
      </c>
    </row>
    <row r="138" spans="1:5" x14ac:dyDescent="0.25">
      <c r="A138" s="1">
        <v>91</v>
      </c>
      <c r="B138" s="1">
        <f t="shared" si="4"/>
        <v>7.7409595045280057E-3</v>
      </c>
      <c r="C138" s="1">
        <f t="shared" si="5"/>
        <v>1.8577444421099536E-11</v>
      </c>
      <c r="D138" s="1">
        <f t="shared" si="6"/>
        <v>3.723427164245239E-32</v>
      </c>
      <c r="E138" s="1">
        <f t="shared" si="7"/>
        <v>7.74095952310545E-3</v>
      </c>
    </row>
    <row r="139" spans="1:5" x14ac:dyDescent="0.25">
      <c r="A139" s="1">
        <v>92</v>
      </c>
      <c r="B139" s="1">
        <f t="shared" si="4"/>
        <v>6.9530358776293778E-3</v>
      </c>
      <c r="C139" s="1">
        <f t="shared" si="5"/>
        <v>3.1925292511369972E-11</v>
      </c>
      <c r="D139" s="1">
        <f t="shared" si="6"/>
        <v>8.6742276141278246E-32</v>
      </c>
      <c r="E139" s="1">
        <f t="shared" si="7"/>
        <v>6.9530359095546701E-3</v>
      </c>
    </row>
    <row r="140" spans="1:5" x14ac:dyDescent="0.25">
      <c r="A140" s="1">
        <v>93</v>
      </c>
      <c r="B140" s="1">
        <f t="shared" si="4"/>
        <v>6.1640867151863182E-3</v>
      </c>
      <c r="C140" s="1">
        <f t="shared" si="5"/>
        <v>5.4469930270578765E-11</v>
      </c>
      <c r="D140" s="1">
        <f t="shared" si="6"/>
        <v>2.0100251477377361E-31</v>
      </c>
      <c r="E140" s="1">
        <f t="shared" si="7"/>
        <v>6.1640867696562485E-3</v>
      </c>
    </row>
    <row r="141" spans="1:5" x14ac:dyDescent="0.25">
      <c r="A141" s="1">
        <v>94</v>
      </c>
      <c r="B141" s="1">
        <f t="shared" si="4"/>
        <v>5.3935859450101814E-3</v>
      </c>
      <c r="C141" s="1">
        <f t="shared" si="5"/>
        <v>9.2268141560831429E-11</v>
      </c>
      <c r="D141" s="1">
        <f t="shared" si="6"/>
        <v>4.6329209906287616E-31</v>
      </c>
      <c r="E141" s="1">
        <f t="shared" si="7"/>
        <v>5.3935860372783234E-3</v>
      </c>
    </row>
    <row r="142" spans="1:5" x14ac:dyDescent="0.25">
      <c r="A142" s="1">
        <v>95</v>
      </c>
      <c r="B142" s="1">
        <f t="shared" si="4"/>
        <v>4.6580169200260216E-3</v>
      </c>
      <c r="C142" s="1">
        <f t="shared" si="5"/>
        <v>1.5517428285961601E-10</v>
      </c>
      <c r="D142" s="1">
        <f t="shared" si="6"/>
        <v>1.0621626421950317E-30</v>
      </c>
      <c r="E142" s="1">
        <f t="shared" si="7"/>
        <v>4.6580170752003047E-3</v>
      </c>
    </row>
    <row r="143" spans="1:5" x14ac:dyDescent="0.25">
      <c r="A143" s="1">
        <v>96</v>
      </c>
      <c r="B143" s="1">
        <f t="shared" si="4"/>
        <v>3.9704443613199063E-3</v>
      </c>
      <c r="C143" s="1">
        <f t="shared" si="5"/>
        <v>2.5909601917942692E-10</v>
      </c>
      <c r="D143" s="1">
        <f t="shared" si="6"/>
        <v>2.4221993161141661E-30</v>
      </c>
      <c r="E143" s="1">
        <f t="shared" si="7"/>
        <v>3.9704446204159253E-3</v>
      </c>
    </row>
    <row r="144" spans="1:5" x14ac:dyDescent="0.25">
      <c r="A144" s="1">
        <v>97</v>
      </c>
      <c r="B144" s="1">
        <f t="shared" si="4"/>
        <v>3.3403483654496401E-3</v>
      </c>
      <c r="C144" s="1">
        <f t="shared" si="5"/>
        <v>4.2951145771787428E-10</v>
      </c>
      <c r="D144" s="1">
        <f t="shared" si="6"/>
        <v>5.4942884689117436E-30</v>
      </c>
      <c r="E144" s="1">
        <f t="shared" si="7"/>
        <v>3.3403487949610977E-3</v>
      </c>
    </row>
    <row r="145" spans="1:5" x14ac:dyDescent="0.25">
      <c r="A145" s="1">
        <v>98</v>
      </c>
      <c r="B145" s="1">
        <f t="shared" si="4"/>
        <v>2.7736969156132662E-3</v>
      </c>
      <c r="C145" s="1">
        <f t="shared" si="5"/>
        <v>7.069061933146134E-10</v>
      </c>
      <c r="D145" s="1">
        <f t="shared" si="6"/>
        <v>1.2396405211462608E-29</v>
      </c>
      <c r="E145" s="1">
        <f t="shared" si="7"/>
        <v>2.7736976225194595E-3</v>
      </c>
    </row>
    <row r="146" spans="1:5" x14ac:dyDescent="0.25">
      <c r="A146" s="1">
        <v>99</v>
      </c>
      <c r="B146" s="1">
        <f t="shared" si="4"/>
        <v>2.2732167101426897E-3</v>
      </c>
      <c r="C146" s="1">
        <f t="shared" si="5"/>
        <v>1.1551059989157659E-9</v>
      </c>
      <c r="D146" s="1">
        <f t="shared" si="6"/>
        <v>2.7820363239947279E-29</v>
      </c>
      <c r="E146" s="1">
        <f t="shared" si="7"/>
        <v>2.2732178652486888E-3</v>
      </c>
    </row>
    <row r="147" spans="1:5" x14ac:dyDescent="0.25">
      <c r="A147" s="1">
        <v>100</v>
      </c>
      <c r="B147" s="1">
        <f t="shared" si="4"/>
        <v>1.8388117514760293E-3</v>
      </c>
      <c r="C147" s="1">
        <f t="shared" si="5"/>
        <v>1.8739366788511768E-9</v>
      </c>
      <c r="D147" s="1">
        <f t="shared" si="6"/>
        <v>6.2102996291331599E-29</v>
      </c>
      <c r="E147" s="1">
        <f t="shared" si="7"/>
        <v>1.8388136254127081E-3</v>
      </c>
    </row>
    <row r="148" spans="1:5" x14ac:dyDescent="0.25">
      <c r="A148" s="1">
        <v>101</v>
      </c>
      <c r="B148" s="1">
        <f t="shared" si="4"/>
        <v>1.468075178240915E-3</v>
      </c>
      <c r="C148" s="1">
        <f t="shared" si="5"/>
        <v>3.0182902723112354E-9</v>
      </c>
      <c r="D148" s="1">
        <f t="shared" si="6"/>
        <v>1.3789389469193864E-28</v>
      </c>
      <c r="E148" s="1">
        <f t="shared" si="7"/>
        <v>1.4680781965311872E-3</v>
      </c>
    </row>
    <row r="149" spans="1:5" x14ac:dyDescent="0.25">
      <c r="A149" s="1">
        <v>102</v>
      </c>
      <c r="B149" s="1">
        <f t="shared" si="4"/>
        <v>1.1568416481734897E-3</v>
      </c>
      <c r="C149" s="1">
        <f t="shared" si="5"/>
        <v>4.8265867465032501E-9</v>
      </c>
      <c r="D149" s="1">
        <f t="shared" si="6"/>
        <v>3.045511528280913E-28</v>
      </c>
      <c r="E149" s="1">
        <f t="shared" si="7"/>
        <v>1.1568464747602363E-3</v>
      </c>
    </row>
    <row r="150" spans="1:5" x14ac:dyDescent="0.25">
      <c r="A150" s="1">
        <v>103</v>
      </c>
      <c r="B150" s="1">
        <f t="shared" si="4"/>
        <v>8.997339946814159E-4</v>
      </c>
      <c r="C150" s="1">
        <f t="shared" si="5"/>
        <v>7.6628839374828523E-9</v>
      </c>
      <c r="D150" s="1">
        <f t="shared" si="6"/>
        <v>6.6904939667322443E-28</v>
      </c>
      <c r="E150" s="1">
        <f t="shared" si="7"/>
        <v>8.9974165756535342E-4</v>
      </c>
    </row>
    <row r="151" spans="1:5" x14ac:dyDescent="0.25">
      <c r="A151" s="1">
        <v>104</v>
      </c>
      <c r="B151" s="1">
        <f t="shared" si="4"/>
        <v>6.9066736975654944E-4</v>
      </c>
      <c r="C151" s="1">
        <f t="shared" si="5"/>
        <v>1.2078622250306902E-8</v>
      </c>
      <c r="D151" s="1">
        <f t="shared" si="6"/>
        <v>1.4619712926598854E-27</v>
      </c>
      <c r="E151" s="1">
        <f t="shared" si="7"/>
        <v>6.9067944837879972E-4</v>
      </c>
    </row>
    <row r="152" spans="1:5" x14ac:dyDescent="0.25">
      <c r="A152" s="1">
        <v>105</v>
      </c>
      <c r="B152" s="1">
        <f t="shared" si="4"/>
        <v>5.2328506725707043E-4</v>
      </c>
      <c r="C152" s="1">
        <f t="shared" si="5"/>
        <v>1.8902339994057636E-8</v>
      </c>
      <c r="D152" s="1">
        <f t="shared" si="6"/>
        <v>3.1776219896436266E-27</v>
      </c>
      <c r="E152" s="1">
        <f t="shared" si="7"/>
        <v>5.2330396959706445E-4</v>
      </c>
    </row>
    <row r="153" spans="1:5" x14ac:dyDescent="0.25">
      <c r="A153" s="1">
        <v>106</v>
      </c>
      <c r="B153" s="1">
        <f t="shared" si="4"/>
        <v>3.9131125497160447E-4</v>
      </c>
      <c r="C153" s="1">
        <f t="shared" si="5"/>
        <v>2.9368837853210452E-8</v>
      </c>
      <c r="D153" s="1">
        <f t="shared" si="6"/>
        <v>6.8698672557322201E-27</v>
      </c>
      <c r="E153" s="1">
        <f t="shared" si="7"/>
        <v>3.9134062380945765E-4</v>
      </c>
    </row>
    <row r="154" spans="1:5" x14ac:dyDescent="0.25">
      <c r="A154" s="1">
        <v>107</v>
      </c>
      <c r="B154" s="1">
        <f t="shared" si="4"/>
        <v>2.8881578895795088E-4</v>
      </c>
      <c r="C154" s="1">
        <f t="shared" si="5"/>
        <v>4.5303418299274481E-8</v>
      </c>
      <c r="D154" s="1">
        <f t="shared" si="6"/>
        <v>1.4773288684906694E-26</v>
      </c>
      <c r="E154" s="1">
        <f t="shared" si="7"/>
        <v>2.8886109237625016E-4</v>
      </c>
    </row>
    <row r="155" spans="1:5" x14ac:dyDescent="0.25">
      <c r="A155" s="1">
        <v>108</v>
      </c>
      <c r="B155" s="1">
        <f t="shared" si="4"/>
        <v>2.1039437191684165E-4</v>
      </c>
      <c r="C155" s="1">
        <f t="shared" si="5"/>
        <v>6.9382221769502129E-8</v>
      </c>
      <c r="D155" s="1">
        <f t="shared" si="6"/>
        <v>3.160012127627068E-26</v>
      </c>
      <c r="E155" s="1">
        <f t="shared" si="7"/>
        <v>2.1046375413861116E-4</v>
      </c>
    </row>
    <row r="156" spans="1:5" x14ac:dyDescent="0.25">
      <c r="A156" s="1">
        <v>109</v>
      </c>
      <c r="B156" s="1">
        <f t="shared" si="4"/>
        <v>1.5127316704347991E-4</v>
      </c>
      <c r="C156" s="1">
        <f t="shared" si="5"/>
        <v>1.054965975377023E-7</v>
      </c>
      <c r="D156" s="1">
        <f t="shared" si="6"/>
        <v>6.7233085119513247E-26</v>
      </c>
      <c r="E156" s="1">
        <f t="shared" si="7"/>
        <v>1.513786636410176E-4</v>
      </c>
    </row>
    <row r="157" spans="1:5" x14ac:dyDescent="0.25">
      <c r="A157" s="1">
        <v>110</v>
      </c>
      <c r="B157" s="1">
        <f t="shared" si="4"/>
        <v>1.0735055028545603E-4</v>
      </c>
      <c r="C157" s="1">
        <f t="shared" si="5"/>
        <v>1.5925817074727747E-7</v>
      </c>
      <c r="D157" s="1">
        <f t="shared" si="6"/>
        <v>1.422853074992496E-25</v>
      </c>
      <c r="E157" s="1">
        <f t="shared" si="7"/>
        <v>1.0750980845620331E-4</v>
      </c>
    </row>
    <row r="158" spans="1:5" x14ac:dyDescent="0.25">
      <c r="A158" s="1">
        <v>111</v>
      </c>
      <c r="B158" s="1">
        <f t="shared" si="4"/>
        <v>7.5190200886651203E-5</v>
      </c>
      <c r="C158" s="1">
        <f t="shared" si="5"/>
        <v>2.3869208212066695E-7</v>
      </c>
      <c r="D158" s="1">
        <f t="shared" si="6"/>
        <v>2.9951584285002631E-25</v>
      </c>
      <c r="E158" s="1">
        <f t="shared" si="7"/>
        <v>7.5428892968771867E-5</v>
      </c>
    </row>
    <row r="159" spans="1:5" x14ac:dyDescent="0.25">
      <c r="A159" s="1">
        <v>112</v>
      </c>
      <c r="B159" s="1">
        <f t="shared" si="4"/>
        <v>5.1979585233859534E-5</v>
      </c>
      <c r="C159" s="1">
        <f t="shared" si="5"/>
        <v>3.5517903454191249E-7</v>
      </c>
      <c r="D159" s="1">
        <f t="shared" si="6"/>
        <v>6.2713677398071214E-25</v>
      </c>
      <c r="E159" s="1">
        <f t="shared" si="7"/>
        <v>5.2334764268401445E-5</v>
      </c>
    </row>
    <row r="160" spans="1:5" x14ac:dyDescent="0.25">
      <c r="A160" s="1">
        <v>113</v>
      </c>
      <c r="B160" s="1">
        <f t="shared" si="4"/>
        <v>3.5466551980459152E-5</v>
      </c>
      <c r="C160" s="1">
        <f t="shared" si="5"/>
        <v>5.2472245724959633E-7</v>
      </c>
      <c r="D160" s="1">
        <f t="shared" si="6"/>
        <v>1.3061331793246742E-24</v>
      </c>
      <c r="E160" s="1">
        <f t="shared" si="7"/>
        <v>3.5991274437708745E-5</v>
      </c>
    </row>
    <row r="161" spans="1:5" x14ac:dyDescent="0.25">
      <c r="A161" s="1">
        <v>114</v>
      </c>
      <c r="B161" s="1">
        <f t="shared" si="4"/>
        <v>2.3884696245508564E-5</v>
      </c>
      <c r="C161" s="1">
        <f t="shared" si="5"/>
        <v>7.6963533887633635E-7</v>
      </c>
      <c r="D161" s="1">
        <f t="shared" si="6"/>
        <v>2.7057980653863037E-24</v>
      </c>
      <c r="E161" s="1">
        <f t="shared" si="7"/>
        <v>2.46543315843849E-5</v>
      </c>
    </row>
    <row r="162" spans="1:5" x14ac:dyDescent="0.25">
      <c r="A162" s="1">
        <v>115</v>
      </c>
      <c r="B162" s="1">
        <f t="shared" si="4"/>
        <v>1.5875779948697183E-5</v>
      </c>
      <c r="C162" s="1">
        <f t="shared" si="5"/>
        <v>1.1207619276560501E-6</v>
      </c>
      <c r="D162" s="1">
        <f t="shared" si="6"/>
        <v>5.5755283428404941E-24</v>
      </c>
      <c r="E162" s="1">
        <f t="shared" si="7"/>
        <v>1.6996541876353234E-5</v>
      </c>
    </row>
    <row r="163" spans="1:5" x14ac:dyDescent="0.25">
      <c r="A163" s="1">
        <v>116</v>
      </c>
      <c r="B163" s="1">
        <f t="shared" si="4"/>
        <v>1.0415137628089163E-5</v>
      </c>
      <c r="C163" s="1">
        <f t="shared" si="5"/>
        <v>1.6203721048392115E-6</v>
      </c>
      <c r="D163" s="1">
        <f t="shared" si="6"/>
        <v>1.1427714969644342E-23</v>
      </c>
      <c r="E163" s="1">
        <f t="shared" si="7"/>
        <v>1.2035509732928375E-5</v>
      </c>
    </row>
    <row r="164" spans="1:5" x14ac:dyDescent="0.25">
      <c r="A164" s="1">
        <v>117</v>
      </c>
      <c r="B164" s="1">
        <f t="shared" si="4"/>
        <v>6.7438755959347885E-6</v>
      </c>
      <c r="C164" s="1">
        <f t="shared" si="5"/>
        <v>2.3258899727295898E-6</v>
      </c>
      <c r="D164" s="1">
        <f t="shared" si="6"/>
        <v>2.3297831359631051E-23</v>
      </c>
      <c r="E164" s="1">
        <f t="shared" si="7"/>
        <v>9.0697655686643783E-6</v>
      </c>
    </row>
    <row r="165" spans="1:5" x14ac:dyDescent="0.25">
      <c r="A165" s="1">
        <v>118</v>
      </c>
      <c r="B165" s="1">
        <f t="shared" si="4"/>
        <v>4.3099147691916841E-6</v>
      </c>
      <c r="C165" s="1">
        <f t="shared" si="5"/>
        <v>3.3146417360889374E-6</v>
      </c>
      <c r="D165" s="1">
        <f t="shared" si="6"/>
        <v>4.7244833287454448E-23</v>
      </c>
      <c r="E165" s="1">
        <f t="shared" si="7"/>
        <v>7.6245565052806211E-6</v>
      </c>
    </row>
    <row r="166" spans="1:5" x14ac:dyDescent="0.25">
      <c r="A166" s="1">
        <v>119</v>
      </c>
      <c r="B166" s="1">
        <f t="shared" si="4"/>
        <v>2.7185818174867408E-6</v>
      </c>
      <c r="C166" s="1">
        <f t="shared" si="5"/>
        <v>4.6898293720686069E-6</v>
      </c>
      <c r="D166" s="1">
        <f t="shared" si="6"/>
        <v>9.5296262978834613E-23</v>
      </c>
      <c r="E166" s="1">
        <f t="shared" si="7"/>
        <v>7.4084111895553477E-6</v>
      </c>
    </row>
    <row r="167" spans="1:5" x14ac:dyDescent="0.25">
      <c r="A167" s="1">
        <v>120</v>
      </c>
      <c r="B167" s="1">
        <f t="shared" si="4"/>
        <v>1.692507993433176E-6</v>
      </c>
      <c r="C167" s="1">
        <f t="shared" si="5"/>
        <v>6.5879532682875903E-6</v>
      </c>
      <c r="D167" s="1">
        <f t="shared" si="6"/>
        <v>1.911965913665568E-22</v>
      </c>
      <c r="E167" s="1">
        <f t="shared" si="7"/>
        <v>8.2804612617207663E-6</v>
      </c>
    </row>
    <row r="168" spans="1:5" x14ac:dyDescent="0.25">
      <c r="A168" s="1">
        <v>121</v>
      </c>
      <c r="B168" s="1">
        <f t="shared" si="4"/>
        <v>1.0400007284824406E-6</v>
      </c>
      <c r="C168" s="1">
        <f t="shared" si="5"/>
        <v>9.1879156009013748E-6</v>
      </c>
      <c r="D168" s="1">
        <f t="shared" si="6"/>
        <v>3.8156378354101282E-22</v>
      </c>
      <c r="E168" s="1">
        <f t="shared" si="7"/>
        <v>1.0227916329383816E-5</v>
      </c>
    </row>
    <row r="169" spans="1:5" x14ac:dyDescent="0.25">
      <c r="A169" s="1">
        <v>122</v>
      </c>
      <c r="B169" s="1">
        <f t="shared" si="4"/>
        <v>6.3074113176279094E-7</v>
      </c>
      <c r="C169" s="1">
        <f t="shared" si="5"/>
        <v>1.2722032603861644E-5</v>
      </c>
      <c r="D169" s="1">
        <f t="shared" si="6"/>
        <v>7.5742018284163687E-22</v>
      </c>
      <c r="E169" s="1">
        <f t="shared" si="7"/>
        <v>1.3352773735624435E-5</v>
      </c>
    </row>
    <row r="170" spans="1:5" x14ac:dyDescent="0.25">
      <c r="A170" s="1">
        <v>123</v>
      </c>
      <c r="B170" s="1">
        <f t="shared" si="4"/>
        <v>3.7755763503071511E-7</v>
      </c>
      <c r="C170" s="1">
        <f t="shared" si="5"/>
        <v>1.748916322805176E-5</v>
      </c>
      <c r="D170" s="1">
        <f t="shared" si="6"/>
        <v>1.4955100170781249E-21</v>
      </c>
      <c r="E170" s="1">
        <f t="shared" si="7"/>
        <v>1.7866720863082474E-5</v>
      </c>
    </row>
    <row r="171" spans="1:5" x14ac:dyDescent="0.25">
      <c r="A171" s="1">
        <v>124</v>
      </c>
      <c r="B171" s="1">
        <f t="shared" si="4"/>
        <v>2.230642413239569E-7</v>
      </c>
      <c r="C171" s="1">
        <f t="shared" si="5"/>
        <v>2.3870118646564392E-5</v>
      </c>
      <c r="D171" s="1">
        <f t="shared" si="6"/>
        <v>2.9371390339780509E-21</v>
      </c>
      <c r="E171" s="1">
        <f t="shared" si="7"/>
        <v>2.4093182887888354E-5</v>
      </c>
    </row>
    <row r="172" spans="1:5" x14ac:dyDescent="0.25">
      <c r="A172" s="1">
        <v>125</v>
      </c>
      <c r="B172" s="1">
        <f t="shared" si="4"/>
        <v>1.3007422547793575E-7</v>
      </c>
      <c r="C172" s="1">
        <f t="shared" si="5"/>
        <v>3.2345446012677985E-5</v>
      </c>
      <c r="D172" s="1">
        <f t="shared" si="6"/>
        <v>5.7377604095192471E-21</v>
      </c>
      <c r="E172" s="1">
        <f t="shared" si="7"/>
        <v>3.247552023815593E-5</v>
      </c>
    </row>
    <row r="173" spans="1:5" x14ac:dyDescent="0.25">
      <c r="A173" s="1">
        <v>126</v>
      </c>
      <c r="B173" s="1">
        <f t="shared" si="4"/>
        <v>7.4862984379874181E-8</v>
      </c>
      <c r="C173" s="1">
        <f t="shared" si="5"/>
        <v>4.3515575361517008E-5</v>
      </c>
      <c r="D173" s="1">
        <f t="shared" si="6"/>
        <v>1.1149182897810692E-20</v>
      </c>
      <c r="E173" s="1">
        <f t="shared" si="7"/>
        <v>4.3590438345896894E-5</v>
      </c>
    </row>
    <row r="174" spans="1:5" x14ac:dyDescent="0.25">
      <c r="A174" s="1">
        <v>127</v>
      </c>
      <c r="B174" s="1">
        <f t="shared" si="4"/>
        <v>4.2526301908875795E-8</v>
      </c>
      <c r="C174" s="1">
        <f t="shared" si="5"/>
        <v>5.8123175830974793E-5</v>
      </c>
      <c r="D174" s="1">
        <f t="shared" si="6"/>
        <v>2.1548964029112562E-20</v>
      </c>
      <c r="E174" s="1">
        <f t="shared" si="7"/>
        <v>5.8165702132883691E-5</v>
      </c>
    </row>
    <row r="175" spans="1:5" x14ac:dyDescent="0.25">
      <c r="A175" s="1">
        <v>128</v>
      </c>
      <c r="B175" s="1">
        <f t="shared" si="4"/>
        <v>2.3843098588587484E-8</v>
      </c>
      <c r="C175" s="1">
        <f t="shared" si="5"/>
        <v>7.7077383161678798E-5</v>
      </c>
      <c r="D175" s="1">
        <f t="shared" si="6"/>
        <v>4.1427857938161335E-20</v>
      </c>
      <c r="E175" s="1">
        <f t="shared" si="7"/>
        <v>7.7101226260267432E-5</v>
      </c>
    </row>
    <row r="176" spans="1:5" x14ac:dyDescent="0.25">
      <c r="A176" s="1">
        <v>129</v>
      </c>
      <c r="B176" s="1">
        <f t="shared" si="4"/>
        <v>1.3194178812637685E-8</v>
      </c>
      <c r="C176" s="1">
        <f t="shared" si="5"/>
        <v>1.0147933368108313E-4</v>
      </c>
      <c r="D176" s="1">
        <f t="shared" si="6"/>
        <v>7.9221176236049522E-20</v>
      </c>
      <c r="E176" s="1">
        <f t="shared" si="7"/>
        <v>1.0149252785989585E-4</v>
      </c>
    </row>
    <row r="177" spans="1:5" x14ac:dyDescent="0.25">
      <c r="A177" s="1">
        <v>130</v>
      </c>
      <c r="B177" s="1">
        <f t="shared" ref="B177:B240" si="8">0.25 * _xlfn.NORM.DIST(A177, 83.3, 8.74, FALSE)</f>
        <v>7.2063712349932556E-9</v>
      </c>
      <c r="C177" s="1">
        <f t="shared" ref="C177:C240" si="9">0.5* _xlfn.NORM.DIST(A177, 166.7, 11.785, FALSE)</f>
        <v>1.32648172809682E-4</v>
      </c>
      <c r="D177" s="1">
        <f t="shared" ref="D177:D240" si="10">0.25 * _xlfn.NORM.DIST(A177, 250, 13.69, FALSE)</f>
        <v>1.5068597070627647E-19</v>
      </c>
      <c r="E177" s="1">
        <f t="shared" ref="E177:E240" si="11">SUM(B177:D177)</f>
        <v>1.3265537918091716E-4</v>
      </c>
    </row>
    <row r="178" spans="1:5" x14ac:dyDescent="0.25">
      <c r="A178" s="1">
        <v>131</v>
      </c>
      <c r="B178" s="1">
        <f t="shared" si="8"/>
        <v>3.8847716071448541E-9</v>
      </c>
      <c r="C178" s="1">
        <f t="shared" si="9"/>
        <v>1.7214640474566862E-4</v>
      </c>
      <c r="D178" s="1">
        <f t="shared" si="10"/>
        <v>2.8509334516474798E-19</v>
      </c>
      <c r="E178" s="1">
        <f t="shared" si="11"/>
        <v>1.7215028951727608E-4</v>
      </c>
    </row>
    <row r="179" spans="1:5" x14ac:dyDescent="0.25">
      <c r="A179" s="1">
        <v>132</v>
      </c>
      <c r="B179" s="1">
        <f t="shared" si="8"/>
        <v>2.0669451182956369E-9</v>
      </c>
      <c r="C179" s="1">
        <f t="shared" si="9"/>
        <v>2.2180312547110165E-4</v>
      </c>
      <c r="D179" s="1">
        <f t="shared" si="10"/>
        <v>5.3651771391271481E-19</v>
      </c>
      <c r="E179" s="1">
        <f t="shared" si="11"/>
        <v>2.2180519241622048E-4</v>
      </c>
    </row>
    <row r="180" spans="1:5" x14ac:dyDescent="0.25">
      <c r="A180" s="1">
        <v>133</v>
      </c>
      <c r="B180" s="1">
        <f t="shared" si="8"/>
        <v>1.0854429301550547E-9</v>
      </c>
      <c r="C180" s="1">
        <f t="shared" si="9"/>
        <v>2.8373335014881949E-4</v>
      </c>
      <c r="D180" s="1">
        <f t="shared" si="10"/>
        <v>1.0043007264240777E-18</v>
      </c>
      <c r="E180" s="1">
        <f t="shared" si="11"/>
        <v>2.8373443559175066E-4</v>
      </c>
    </row>
    <row r="181" spans="1:5" x14ac:dyDescent="0.25">
      <c r="A181" s="1">
        <v>134</v>
      </c>
      <c r="B181" s="1">
        <f t="shared" si="8"/>
        <v>5.6259988324897942E-10</v>
      </c>
      <c r="C181" s="1">
        <f t="shared" si="9"/>
        <v>3.6035133066296079E-4</v>
      </c>
      <c r="D181" s="1">
        <f t="shared" si="10"/>
        <v>1.869933723916721E-18</v>
      </c>
      <c r="E181" s="1">
        <f t="shared" si="11"/>
        <v>3.6035189326284587E-4</v>
      </c>
    </row>
    <row r="182" spans="1:5" x14ac:dyDescent="0.25">
      <c r="A182" s="1">
        <v>135</v>
      </c>
      <c r="B182" s="1">
        <f t="shared" si="8"/>
        <v>2.8781066014090717E-10</v>
      </c>
      <c r="C182" s="1">
        <f t="shared" si="9"/>
        <v>4.5437548733935786E-4</v>
      </c>
      <c r="D182" s="1">
        <f t="shared" si="10"/>
        <v>3.4631505950281557E-18</v>
      </c>
      <c r="E182" s="1">
        <f t="shared" si="11"/>
        <v>4.5437577515002145E-4</v>
      </c>
    </row>
    <row r="183" spans="1:5" x14ac:dyDescent="0.25">
      <c r="A183" s="1">
        <v>136</v>
      </c>
      <c r="B183" s="1">
        <f t="shared" si="8"/>
        <v>1.4532111052126475E-10</v>
      </c>
      <c r="C183" s="1">
        <f t="shared" si="9"/>
        <v>5.688223833033131E-4</v>
      </c>
      <c r="D183" s="1">
        <f t="shared" si="10"/>
        <v>6.3796854479669506E-18</v>
      </c>
      <c r="E183" s="1">
        <f t="shared" si="11"/>
        <v>5.6882252862443001E-4</v>
      </c>
    </row>
    <row r="184" spans="1:5" x14ac:dyDescent="0.25">
      <c r="A184" s="1">
        <v>137</v>
      </c>
      <c r="B184" s="1">
        <f t="shared" si="8"/>
        <v>7.2421102984791836E-11</v>
      </c>
      <c r="C184" s="1">
        <f t="shared" si="9"/>
        <v>7.0698708619483866E-4</v>
      </c>
      <c r="D184" s="1">
        <f t="shared" si="10"/>
        <v>1.1689875372534014E-17</v>
      </c>
      <c r="E184" s="1">
        <f t="shared" si="11"/>
        <v>7.0698715861595334E-4</v>
      </c>
    </row>
    <row r="185" spans="1:5" x14ac:dyDescent="0.25">
      <c r="A185" s="1">
        <v>138</v>
      </c>
      <c r="B185" s="1">
        <f t="shared" si="8"/>
        <v>3.5621824223844491E-11</v>
      </c>
      <c r="C185" s="1">
        <f t="shared" si="9"/>
        <v>8.7240732666066581E-4</v>
      </c>
      <c r="D185" s="1">
        <f t="shared" si="10"/>
        <v>2.1306063734770157E-17</v>
      </c>
      <c r="E185" s="1">
        <f t="shared" si="11"/>
        <v>8.7240736228251135E-4</v>
      </c>
    </row>
    <row r="186" spans="1:5" x14ac:dyDescent="0.25">
      <c r="A186" s="1">
        <v>139</v>
      </c>
      <c r="B186" s="1">
        <f t="shared" si="8"/>
        <v>1.7293455159724127E-11</v>
      </c>
      <c r="C186" s="1">
        <f t="shared" si="9"/>
        <v>1.0688091106750288E-3</v>
      </c>
      <c r="D186" s="1">
        <f t="shared" si="10"/>
        <v>3.8625960177899417E-17</v>
      </c>
      <c r="E186" s="1">
        <f t="shared" si="11"/>
        <v>1.0688091279685225E-3</v>
      </c>
    </row>
    <row r="187" spans="1:5" x14ac:dyDescent="0.25">
      <c r="A187" s="1">
        <v>140</v>
      </c>
      <c r="B187" s="1">
        <f t="shared" si="8"/>
        <v>8.2863253749489754E-12</v>
      </c>
      <c r="C187" s="1">
        <f t="shared" si="9"/>
        <v>1.3000319021172493E-3</v>
      </c>
      <c r="D187" s="1">
        <f t="shared" si="10"/>
        <v>6.9652720029532005E-17</v>
      </c>
      <c r="E187" s="1">
        <f t="shared" si="11"/>
        <v>1.3000319104036443E-3</v>
      </c>
    </row>
    <row r="188" spans="1:5" x14ac:dyDescent="0.25">
      <c r="A188" s="1">
        <v>141</v>
      </c>
      <c r="B188" s="1">
        <f t="shared" si="8"/>
        <v>3.9188332782807409E-12</v>
      </c>
      <c r="C188" s="1">
        <f t="shared" si="9"/>
        <v>1.5699321823018748E-3</v>
      </c>
      <c r="D188" s="1">
        <f t="shared" si="10"/>
        <v>1.249336991528999E-16</v>
      </c>
      <c r="E188" s="1">
        <f t="shared" si="11"/>
        <v>1.569932186220833E-3</v>
      </c>
    </row>
    <row r="189" spans="1:5" x14ac:dyDescent="0.25">
      <c r="A189" s="1">
        <v>142</v>
      </c>
      <c r="B189" s="1">
        <f t="shared" si="8"/>
        <v>1.8292210343150868E-12</v>
      </c>
      <c r="C189" s="1">
        <f t="shared" si="9"/>
        <v>1.882265119759055E-3</v>
      </c>
      <c r="D189" s="1">
        <f t="shared" si="10"/>
        <v>2.2289680498445803E-16</v>
      </c>
      <c r="E189" s="1">
        <f t="shared" si="11"/>
        <v>1.882265121588499E-3</v>
      </c>
    </row>
    <row r="190" spans="1:5" x14ac:dyDescent="0.25">
      <c r="A190" s="1">
        <v>143</v>
      </c>
      <c r="B190" s="1">
        <f t="shared" si="8"/>
        <v>8.427333493902238E-13</v>
      </c>
      <c r="C190" s="1">
        <f t="shared" si="9"/>
        <v>2.2405452345168717E-3</v>
      </c>
      <c r="D190" s="1">
        <f t="shared" si="10"/>
        <v>3.9555858380769464E-16</v>
      </c>
      <c r="E190" s="1">
        <f t="shared" si="11"/>
        <v>2.2405452353600006E-3</v>
      </c>
    </row>
    <row r="191" spans="1:5" x14ac:dyDescent="0.25">
      <c r="A191" s="1">
        <v>144</v>
      </c>
      <c r="B191" s="1">
        <f t="shared" si="8"/>
        <v>3.8320288394213349E-13</v>
      </c>
      <c r="C191" s="1">
        <f t="shared" si="9"/>
        <v>2.6478882841060158E-3</v>
      </c>
      <c r="D191" s="1">
        <f t="shared" si="10"/>
        <v>6.9823322278676033E-16</v>
      </c>
      <c r="E191" s="1">
        <f t="shared" si="11"/>
        <v>2.647888284489917E-3</v>
      </c>
    </row>
    <row r="192" spans="1:5" x14ac:dyDescent="0.25">
      <c r="A192" s="1">
        <v>145</v>
      </c>
      <c r="B192" s="1">
        <f t="shared" si="8"/>
        <v>1.7198158680201284E-13</v>
      </c>
      <c r="C192" s="1">
        <f t="shared" si="9"/>
        <v>3.106838079130576E-3</v>
      </c>
      <c r="D192" s="1">
        <f t="shared" si="10"/>
        <v>1.2259504883520181E-15</v>
      </c>
      <c r="E192" s="1">
        <f t="shared" si="11"/>
        <v>3.1068380793037838E-3</v>
      </c>
    </row>
    <row r="193" spans="1:5" x14ac:dyDescent="0.25">
      <c r="A193" s="1">
        <v>146</v>
      </c>
      <c r="B193" s="1">
        <f t="shared" si="8"/>
        <v>7.6181536731749759E-14</v>
      </c>
      <c r="C193" s="1">
        <f t="shared" si="9"/>
        <v>3.6191834781898031E-3</v>
      </c>
      <c r="D193" s="1">
        <f t="shared" si="10"/>
        <v>2.1410562564803362E-15</v>
      </c>
      <c r="E193" s="1">
        <f t="shared" si="11"/>
        <v>3.6191834782681258E-3</v>
      </c>
    </row>
    <row r="194" spans="1:5" x14ac:dyDescent="0.25">
      <c r="A194" s="1">
        <v>147</v>
      </c>
      <c r="B194" s="1">
        <f t="shared" si="8"/>
        <v>3.3306738000313701E-14</v>
      </c>
      <c r="C194" s="1">
        <f t="shared" si="9"/>
        <v>4.1857723189917496E-3</v>
      </c>
      <c r="D194" s="1">
        <f t="shared" si="10"/>
        <v>3.7193406101346137E-15</v>
      </c>
      <c r="E194" s="1">
        <f t="shared" si="11"/>
        <v>4.1857723190287755E-3</v>
      </c>
    </row>
    <row r="195" spans="1:5" x14ac:dyDescent="0.25">
      <c r="A195" s="1">
        <v>148</v>
      </c>
      <c r="B195" s="1">
        <f t="shared" si="8"/>
        <v>1.4372392436974817E-14</v>
      </c>
      <c r="C195" s="1">
        <f t="shared" si="9"/>
        <v>4.8063304029838713E-3</v>
      </c>
      <c r="D195" s="1">
        <f t="shared" si="10"/>
        <v>6.4266781575756278E-15</v>
      </c>
      <c r="E195" s="1">
        <f t="shared" si="11"/>
        <v>4.8063304030046697E-3</v>
      </c>
    </row>
    <row r="196" spans="1:5" x14ac:dyDescent="0.25">
      <c r="A196" s="1">
        <v>149</v>
      </c>
      <c r="B196" s="1">
        <f t="shared" si="8"/>
        <v>6.1212571998366594E-15</v>
      </c>
      <c r="C196" s="1">
        <f t="shared" si="9"/>
        <v>5.4792947442143611E-3</v>
      </c>
      <c r="D196" s="1">
        <f t="shared" si="10"/>
        <v>1.1045614362500364E-14</v>
      </c>
      <c r="E196" s="1">
        <f t="shared" si="11"/>
        <v>5.479294744231528E-3</v>
      </c>
    </row>
    <row r="197" spans="1:5" x14ac:dyDescent="0.25">
      <c r="A197" s="1">
        <v>150</v>
      </c>
      <c r="B197" s="1">
        <f t="shared" si="8"/>
        <v>2.5731599494971688E-15</v>
      </c>
      <c r="C197" s="1">
        <f t="shared" si="9"/>
        <v>6.2016709987362424E-3</v>
      </c>
      <c r="D197" s="1">
        <f t="shared" si="10"/>
        <v>1.8883214550125648E-14</v>
      </c>
      <c r="E197" s="1">
        <f t="shared" si="11"/>
        <v>6.2016709987576992E-3</v>
      </c>
    </row>
    <row r="198" spans="1:5" x14ac:dyDescent="0.25">
      <c r="A198" s="1">
        <v>151</v>
      </c>
      <c r="B198" s="1">
        <f t="shared" si="8"/>
        <v>1.0675974624895806E-15</v>
      </c>
      <c r="C198" s="1">
        <f t="shared" si="9"/>
        <v>6.9689251979784582E-3</v>
      </c>
      <c r="D198" s="1">
        <f t="shared" si="10"/>
        <v>3.2110325241396511E-14</v>
      </c>
      <c r="E198" s="1">
        <f t="shared" si="11"/>
        <v>6.9689251980116365E-3</v>
      </c>
    </row>
    <row r="199" spans="1:5" x14ac:dyDescent="0.25">
      <c r="A199" s="1">
        <v>152</v>
      </c>
      <c r="B199" s="1">
        <f t="shared" si="8"/>
        <v>4.3718260860152554E-16</v>
      </c>
      <c r="C199" s="1">
        <f t="shared" si="9"/>
        <v>7.7749195283549353E-3</v>
      </c>
      <c r="D199" s="1">
        <f t="shared" si="10"/>
        <v>5.4312051474095207E-14</v>
      </c>
      <c r="E199" s="1">
        <f t="shared" si="11"/>
        <v>7.7749195284096849E-3</v>
      </c>
    </row>
    <row r="200" spans="1:5" x14ac:dyDescent="0.25">
      <c r="A200" s="1">
        <v>153</v>
      </c>
      <c r="B200" s="1">
        <f t="shared" si="8"/>
        <v>1.7669848090628691E-16</v>
      </c>
      <c r="C200" s="1">
        <f t="shared" si="9"/>
        <v>8.6119008717967481E-3</v>
      </c>
      <c r="D200" s="1">
        <f t="shared" si="10"/>
        <v>9.1375640861547647E-14</v>
      </c>
      <c r="E200" s="1">
        <f t="shared" si="11"/>
        <v>8.6119008718882999E-3</v>
      </c>
    </row>
    <row r="201" spans="1:5" x14ac:dyDescent="0.25">
      <c r="A201" s="1">
        <v>154</v>
      </c>
      <c r="B201" s="1">
        <f t="shared" si="8"/>
        <v>7.0488350716006742E-17</v>
      </c>
      <c r="C201" s="1">
        <f t="shared" si="9"/>
        <v>9.4705491307066104E-3</v>
      </c>
      <c r="D201" s="1">
        <f t="shared" si="10"/>
        <v>1.529140497982773E-13</v>
      </c>
      <c r="E201" s="1">
        <f t="shared" si="11"/>
        <v>9.4705491308595957E-3</v>
      </c>
    </row>
    <row r="202" spans="1:5" x14ac:dyDescent="0.25">
      <c r="A202" s="1">
        <v>155</v>
      </c>
      <c r="B202" s="1">
        <f t="shared" si="8"/>
        <v>2.7753418004673877E-17</v>
      </c>
      <c r="C202" s="1">
        <f t="shared" si="9"/>
        <v>1.0340090036842926E-2</v>
      </c>
      <c r="D202" s="1">
        <f t="shared" si="10"/>
        <v>2.5453474329532555E-13</v>
      </c>
      <c r="E202" s="1">
        <f t="shared" si="11"/>
        <v>1.0340090037097488E-2</v>
      </c>
    </row>
    <row r="203" spans="1:5" x14ac:dyDescent="0.25">
      <c r="A203" s="1">
        <v>156</v>
      </c>
      <c r="B203" s="1">
        <f t="shared" si="8"/>
        <v>1.0785249567625468E-17</v>
      </c>
      <c r="C203" s="1">
        <f t="shared" si="9"/>
        <v>1.1208474269129638E-2</v>
      </c>
      <c r="D203" s="1">
        <f t="shared" si="10"/>
        <v>4.2143390946590938E-13</v>
      </c>
      <c r="E203" s="1">
        <f t="shared" si="11"/>
        <v>1.1208474269551082E-2</v>
      </c>
    </row>
    <row r="204" spans="1:5" x14ac:dyDescent="0.25">
      <c r="A204" s="1">
        <v>157</v>
      </c>
      <c r="B204" s="1">
        <f t="shared" si="8"/>
        <v>4.1367427621057401E-18</v>
      </c>
      <c r="C204" s="1">
        <f t="shared" si="9"/>
        <v>1.2062621413453817E-2</v>
      </c>
      <c r="D204" s="1">
        <f t="shared" si="10"/>
        <v>6.9405615345737209E-13</v>
      </c>
      <c r="E204" s="1">
        <f t="shared" si="11"/>
        <v>1.2062621414147877E-2</v>
      </c>
    </row>
    <row r="205" spans="1:5" x14ac:dyDescent="0.25">
      <c r="A205" s="1">
        <v>158</v>
      </c>
      <c r="B205" s="1">
        <f t="shared" si="8"/>
        <v>1.56603486595868E-18</v>
      </c>
      <c r="C205" s="1">
        <f t="shared" si="9"/>
        <v>1.2888723766729558E-2</v>
      </c>
      <c r="D205" s="1">
        <f t="shared" si="10"/>
        <v>1.1369528821317321E-12</v>
      </c>
      <c r="E205" s="1">
        <f t="shared" si="11"/>
        <v>1.2888723767866513E-2</v>
      </c>
    </row>
    <row r="206" spans="1:5" x14ac:dyDescent="0.25">
      <c r="A206" s="1">
        <v>159</v>
      </c>
      <c r="B206" s="1">
        <f t="shared" si="8"/>
        <v>5.8513884830624067E-19</v>
      </c>
      <c r="C206" s="1">
        <f t="shared" si="9"/>
        <v>1.3672601431953041E-2</v>
      </c>
      <c r="D206" s="1">
        <f t="shared" si="10"/>
        <v>1.852563276352201E-12</v>
      </c>
      <c r="E206" s="1">
        <f t="shared" si="11"/>
        <v>1.3672601433805604E-2</v>
      </c>
    </row>
    <row r="207" spans="1:5" x14ac:dyDescent="0.25">
      <c r="A207" s="1">
        <v>160</v>
      </c>
      <c r="B207" s="1">
        <f t="shared" si="8"/>
        <v>2.1578985974456567E-19</v>
      </c>
      <c r="C207" s="1">
        <f t="shared" si="9"/>
        <v>1.4400096806100908E-2</v>
      </c>
      <c r="D207" s="1">
        <f t="shared" si="10"/>
        <v>3.0025231208549561E-12</v>
      </c>
      <c r="E207" s="1">
        <f t="shared" si="11"/>
        <v>1.4400096809103431E-2</v>
      </c>
    </row>
    <row r="208" spans="1:5" x14ac:dyDescent="0.25">
      <c r="A208" s="1">
        <v>161</v>
      </c>
      <c r="B208" s="1">
        <f t="shared" si="8"/>
        <v>7.8544852307402751E-20</v>
      </c>
      <c r="C208" s="1">
        <f t="shared" si="9"/>
        <v>1.5057493668038557E-2</v>
      </c>
      <c r="D208" s="1">
        <f t="shared" si="10"/>
        <v>4.8404127459591778E-12</v>
      </c>
      <c r="E208" s="1">
        <f t="shared" si="11"/>
        <v>1.5057493672878969E-2</v>
      </c>
    </row>
    <row r="209" spans="1:5" x14ac:dyDescent="0.25">
      <c r="A209" s="1">
        <v>162</v>
      </c>
      <c r="B209" s="1">
        <f t="shared" si="8"/>
        <v>2.8217531371703705E-20</v>
      </c>
      <c r="C209" s="1">
        <f t="shared" si="9"/>
        <v>1.5631943853543169E-2</v>
      </c>
      <c r="D209" s="1">
        <f t="shared" si="10"/>
        <v>7.7617769314943904E-12</v>
      </c>
      <c r="E209" s="1">
        <f t="shared" si="11"/>
        <v>1.5631943861304946E-2</v>
      </c>
    </row>
    <row r="210" spans="1:5" x14ac:dyDescent="0.25">
      <c r="A210" s="1">
        <v>163</v>
      </c>
      <c r="B210" s="1">
        <f t="shared" si="8"/>
        <v>1.0005410239967191E-20</v>
      </c>
      <c r="C210" s="1">
        <f t="shared" si="9"/>
        <v>1.6111883149238823E-2</v>
      </c>
      <c r="D210" s="1">
        <f t="shared" si="10"/>
        <v>1.238005700592073E-11</v>
      </c>
      <c r="E210" s="1">
        <f t="shared" si="11"/>
        <v>1.6111883161618878E-2</v>
      </c>
    </row>
    <row r="211" spans="1:5" x14ac:dyDescent="0.25">
      <c r="A211" s="1">
        <v>164</v>
      </c>
      <c r="B211" s="1">
        <f t="shared" si="8"/>
        <v>3.5015906853457272E-21</v>
      </c>
      <c r="C211" s="1">
        <f t="shared" si="9"/>
        <v>1.6487417684983661E-2</v>
      </c>
      <c r="D211" s="1">
        <f t="shared" si="10"/>
        <v>1.9641147520806322E-11</v>
      </c>
      <c r="E211" s="1">
        <f t="shared" si="11"/>
        <v>1.6487417704624807E-2</v>
      </c>
    </row>
    <row r="212" spans="1:5" x14ac:dyDescent="0.25">
      <c r="A212" s="1">
        <v>165</v>
      </c>
      <c r="B212" s="1">
        <f t="shared" si="8"/>
        <v>1.2095127504016023E-21</v>
      </c>
      <c r="C212" s="1">
        <f t="shared" si="9"/>
        <v>1.675066282746147E-2</v>
      </c>
      <c r="D212" s="1">
        <f t="shared" si="10"/>
        <v>3.099515385799204E-11</v>
      </c>
      <c r="E212" s="1">
        <f t="shared" si="11"/>
        <v>1.6750662858456625E-2</v>
      </c>
    </row>
    <row r="213" spans="1:5" x14ac:dyDescent="0.25">
      <c r="A213" s="1">
        <v>166</v>
      </c>
      <c r="B213" s="1">
        <f t="shared" si="8"/>
        <v>4.1235391104801729E-22</v>
      </c>
      <c r="C213" s="1">
        <f t="shared" si="9"/>
        <v>1.6896018373926843E-2</v>
      </c>
      <c r="D213" s="1">
        <f t="shared" si="10"/>
        <v>4.8652309554228869E-11</v>
      </c>
      <c r="E213" s="1">
        <f t="shared" si="11"/>
        <v>1.6896018422579151E-2</v>
      </c>
    </row>
    <row r="214" spans="1:5" x14ac:dyDescent="0.25">
      <c r="A214" s="1">
        <v>167</v>
      </c>
      <c r="B214" s="1">
        <f t="shared" si="8"/>
        <v>1.387536382878568E-22</v>
      </c>
      <c r="C214" s="1">
        <f t="shared" si="9"/>
        <v>1.6920366633924662E-2</v>
      </c>
      <c r="D214" s="1">
        <f t="shared" si="10"/>
        <v>7.5961905767306407E-11</v>
      </c>
      <c r="E214" s="1">
        <f t="shared" si="11"/>
        <v>1.6920366709886569E-2</v>
      </c>
    </row>
    <row r="215" spans="1:5" x14ac:dyDescent="0.25">
      <c r="A215" s="1">
        <v>168</v>
      </c>
      <c r="B215" s="1">
        <f t="shared" si="8"/>
        <v>4.6082203320914356E-23</v>
      </c>
      <c r="C215" s="1">
        <f t="shared" si="9"/>
        <v>1.6823183613937115E-2</v>
      </c>
      <c r="D215" s="1">
        <f t="shared" si="10"/>
        <v>1.1796983405624769E-10</v>
      </c>
      <c r="E215" s="1">
        <f t="shared" si="11"/>
        <v>1.682318373190695E-2</v>
      </c>
    </row>
    <row r="216" spans="1:5" x14ac:dyDescent="0.25">
      <c r="A216" s="1">
        <v>169</v>
      </c>
      <c r="B216" s="1">
        <f t="shared" si="8"/>
        <v>1.510555499428756E-23</v>
      </c>
      <c r="C216" s="1">
        <f t="shared" si="9"/>
        <v>1.6606557767023071E-2</v>
      </c>
      <c r="D216" s="1">
        <f t="shared" si="10"/>
        <v>1.8223374947112011E-10</v>
      </c>
      <c r="E216" s="1">
        <f t="shared" si="11"/>
        <v>1.660655794925682E-2</v>
      </c>
    </row>
    <row r="217" spans="1:5" x14ac:dyDescent="0.25">
      <c r="A217" s="1">
        <v>170</v>
      </c>
      <c r="B217" s="1">
        <f t="shared" si="8"/>
        <v>4.887139450292514E-24</v>
      </c>
      <c r="C217" s="1">
        <f t="shared" si="9"/>
        <v>1.6275115370427907E-2</v>
      </c>
      <c r="D217" s="1">
        <f t="shared" si="10"/>
        <v>2.8000731629845511E-10</v>
      </c>
      <c r="E217" s="1">
        <f t="shared" si="11"/>
        <v>1.6275115650435223E-2</v>
      </c>
    </row>
    <row r="218" spans="1:5" x14ac:dyDescent="0.25">
      <c r="A218" s="1">
        <v>171</v>
      </c>
      <c r="B218" s="1">
        <f t="shared" si="8"/>
        <v>1.5605847942089712E-24</v>
      </c>
      <c r="C218" s="1">
        <f t="shared" si="9"/>
        <v>1.58358562551193E-2</v>
      </c>
      <c r="D218" s="1">
        <f t="shared" si="10"/>
        <v>4.279496477708778E-10</v>
      </c>
      <c r="E218" s="1">
        <f t="shared" si="11"/>
        <v>1.5835856683068947E-2</v>
      </c>
    </row>
    <row r="219" spans="1:5" x14ac:dyDescent="0.25">
      <c r="A219" s="1">
        <v>172</v>
      </c>
      <c r="B219" s="1">
        <f t="shared" si="8"/>
        <v>4.9185218500786518E-25</v>
      </c>
      <c r="C219" s="1">
        <f t="shared" si="9"/>
        <v>1.529790803381346E-2</v>
      </c>
      <c r="D219" s="1">
        <f t="shared" si="10"/>
        <v>6.5057698161756837E-10</v>
      </c>
      <c r="E219" s="1">
        <f t="shared" si="11"/>
        <v>1.5297908684390441E-2</v>
      </c>
    </row>
    <row r="220" spans="1:5" x14ac:dyDescent="0.25">
      <c r="A220" s="1">
        <v>173</v>
      </c>
      <c r="B220" s="1">
        <f t="shared" si="8"/>
        <v>1.5300176246384725E-25</v>
      </c>
      <c r="C220" s="1">
        <f t="shared" si="9"/>
        <v>1.467221087846869E-2</v>
      </c>
      <c r="D220" s="1">
        <f t="shared" si="10"/>
        <v>9.8375610169278513E-10</v>
      </c>
      <c r="E220" s="1">
        <f t="shared" si="11"/>
        <v>1.4672211862224791E-2</v>
      </c>
    </row>
    <row r="221" spans="1:5" x14ac:dyDescent="0.25">
      <c r="A221" s="1">
        <v>174</v>
      </c>
      <c r="B221" s="1">
        <f t="shared" si="8"/>
        <v>4.6975656327333692E-26</v>
      </c>
      <c r="C221" s="1">
        <f t="shared" si="9"/>
        <v>1.3971148044801327E-2</v>
      </c>
      <c r="D221" s="1">
        <f t="shared" si="10"/>
        <v>1.4796497011405117E-9</v>
      </c>
      <c r="E221" s="1">
        <f t="shared" si="11"/>
        <v>1.3971149524451028E-2</v>
      </c>
    </row>
    <row r="222" spans="1:5" x14ac:dyDescent="0.25">
      <c r="A222" s="1">
        <v>175</v>
      </c>
      <c r="B222" s="1">
        <f t="shared" si="8"/>
        <v>1.423520986371922E-26</v>
      </c>
      <c r="C222" s="1">
        <f t="shared" si="9"/>
        <v>1.320813954858849E-2</v>
      </c>
      <c r="D222" s="1">
        <f t="shared" si="10"/>
        <v>2.2136711663698599E-9</v>
      </c>
      <c r="E222" s="1">
        <f t="shared" si="11"/>
        <v>1.3208141762259656E-2</v>
      </c>
    </row>
    <row r="223" spans="1:5" x14ac:dyDescent="0.25">
      <c r="A223" s="1">
        <v>176</v>
      </c>
      <c r="B223" s="1">
        <f t="shared" si="8"/>
        <v>4.2576453801986078E-27</v>
      </c>
      <c r="C223" s="1">
        <f t="shared" si="9"/>
        <v>1.2397217555589368E-2</v>
      </c>
      <c r="D223" s="1">
        <f t="shared" si="10"/>
        <v>3.2942005223351978E-9</v>
      </c>
      <c r="E223" s="1">
        <f t="shared" si="11"/>
        <v>1.239722084978989E-2</v>
      </c>
    </row>
    <row r="224" spans="1:5" x14ac:dyDescent="0.25">
      <c r="A224" s="1">
        <v>177</v>
      </c>
      <c r="B224" s="1">
        <f t="shared" si="8"/>
        <v>1.2568680679750442E-27</v>
      </c>
      <c r="C224" s="1">
        <f t="shared" si="9"/>
        <v>1.1552602120211277E-2</v>
      </c>
      <c r="D224" s="1">
        <f t="shared" si="10"/>
        <v>4.8760671857292965E-9</v>
      </c>
      <c r="E224" s="1">
        <f t="shared" si="11"/>
        <v>1.1552606996278462E-2</v>
      </c>
    </row>
    <row r="225" spans="1:5" x14ac:dyDescent="0.25">
      <c r="A225" s="1">
        <v>178</v>
      </c>
      <c r="B225" s="1">
        <f t="shared" si="8"/>
        <v>3.6620518888458137E-28</v>
      </c>
      <c r="C225" s="1">
        <f t="shared" si="9"/>
        <v>1.0688294940785811E-2</v>
      </c>
      <c r="D225" s="1">
        <f t="shared" si="10"/>
        <v>7.179133942422807E-9</v>
      </c>
      <c r="E225" s="1">
        <f t="shared" si="11"/>
        <v>1.0688302119919753E-2</v>
      </c>
    </row>
    <row r="226" spans="1:5" x14ac:dyDescent="0.25">
      <c r="A226" s="1">
        <v>179</v>
      </c>
      <c r="B226" s="1">
        <f t="shared" si="8"/>
        <v>1.0531103696766154E-28</v>
      </c>
      <c r="C226" s="1">
        <f t="shared" si="9"/>
        <v>9.8177069048844701E-3</v>
      </c>
      <c r="D226" s="1">
        <f t="shared" si="10"/>
        <v>1.051373816503517E-8</v>
      </c>
      <c r="E226" s="1">
        <f t="shared" si="11"/>
        <v>9.8177174186226349E-3</v>
      </c>
    </row>
    <row r="227" spans="1:5" x14ac:dyDescent="0.25">
      <c r="A227" s="1">
        <v>180</v>
      </c>
      <c r="B227" s="1">
        <f t="shared" si="8"/>
        <v>2.9890823431904879E-29</v>
      </c>
      <c r="C227" s="1">
        <f t="shared" si="9"/>
        <v>8.9533325478346436E-3</v>
      </c>
      <c r="D227" s="1">
        <f t="shared" si="10"/>
        <v>1.5315281509581214E-8</v>
      </c>
      <c r="E227" s="1">
        <f t="shared" si="11"/>
        <v>8.9533478631161536E-3</v>
      </c>
    </row>
    <row r="228" spans="1:5" x14ac:dyDescent="0.25">
      <c r="A228" s="1">
        <v>181</v>
      </c>
      <c r="B228" s="1">
        <f t="shared" si="8"/>
        <v>8.3736819915919727E-30</v>
      </c>
      <c r="C228" s="1">
        <f t="shared" si="9"/>
        <v>8.1064813544642414E-3</v>
      </c>
      <c r="D228" s="1">
        <f t="shared" si="10"/>
        <v>2.2190931696984821E-8</v>
      </c>
      <c r="E228" s="1">
        <f t="shared" si="11"/>
        <v>8.1065035453959378E-3</v>
      </c>
    </row>
    <row r="229" spans="1:5" x14ac:dyDescent="0.25">
      <c r="A229" s="1">
        <v>182</v>
      </c>
      <c r="B229" s="1">
        <f t="shared" si="8"/>
        <v>2.3153126391851742E-30</v>
      </c>
      <c r="C229" s="1">
        <f t="shared" si="9"/>
        <v>7.2870723339260451E-3</v>
      </c>
      <c r="D229" s="1">
        <f t="shared" si="10"/>
        <v>3.1982235381221889E-8</v>
      </c>
      <c r="E229" s="1">
        <f t="shared" si="11"/>
        <v>7.287104316161426E-3</v>
      </c>
    </row>
    <row r="230" spans="1:5" x14ac:dyDescent="0.25">
      <c r="A230" s="1">
        <v>183</v>
      </c>
      <c r="B230" s="1">
        <f t="shared" si="8"/>
        <v>6.3185498474942803E-31</v>
      </c>
      <c r="C230" s="1">
        <f t="shared" si="9"/>
        <v>6.5034947295187408E-3</v>
      </c>
      <c r="D230" s="1">
        <f t="shared" si="10"/>
        <v>4.5848467064096884E-8</v>
      </c>
      <c r="E230" s="1">
        <f t="shared" si="11"/>
        <v>6.5035405779858045E-3</v>
      </c>
    </row>
    <row r="231" spans="1:5" x14ac:dyDescent="0.25">
      <c r="A231" s="1">
        <v>184</v>
      </c>
      <c r="B231" s="1">
        <f t="shared" si="8"/>
        <v>1.7019225161308546E-31</v>
      </c>
      <c r="C231" s="1">
        <f t="shared" si="9"/>
        <v>5.7625343142589554E-3</v>
      </c>
      <c r="D231" s="1">
        <f t="shared" si="10"/>
        <v>6.5376783537036899E-8</v>
      </c>
      <c r="E231" s="1">
        <f t="shared" si="11"/>
        <v>5.7625996910424925E-3</v>
      </c>
    </row>
    <row r="232" spans="1:5" x14ac:dyDescent="0.25">
      <c r="A232" s="1">
        <v>185</v>
      </c>
      <c r="B232" s="1">
        <f t="shared" si="8"/>
        <v>4.5245641114705344E-32</v>
      </c>
      <c r="C232" s="1">
        <f t="shared" si="9"/>
        <v>5.0693616627895633E-3</v>
      </c>
      <c r="D232" s="1">
        <f t="shared" si="10"/>
        <v>9.2726743117236323E-8</v>
      </c>
      <c r="E232" s="1">
        <f t="shared" si="11"/>
        <v>5.0694543895326806E-3</v>
      </c>
    </row>
    <row r="233" spans="1:5" x14ac:dyDescent="0.25">
      <c r="A233" s="1">
        <v>186</v>
      </c>
      <c r="B233" s="1">
        <f t="shared" si="8"/>
        <v>1.187212070067274E-32</v>
      </c>
      <c r="C233" s="1">
        <f t="shared" si="9"/>
        <v>4.4275762332261605E-3</v>
      </c>
      <c r="D233" s="1">
        <f t="shared" si="10"/>
        <v>1.3081850694571081E-7</v>
      </c>
      <c r="E233" s="1">
        <f t="shared" si="11"/>
        <v>4.427707051733106E-3</v>
      </c>
    </row>
    <row r="234" spans="1:5" x14ac:dyDescent="0.25">
      <c r="A234" s="1">
        <v>187</v>
      </c>
      <c r="B234" s="1">
        <f t="shared" si="8"/>
        <v>3.0746412872309925E-33</v>
      </c>
      <c r="C234" s="1">
        <f t="shared" si="9"/>
        <v>3.8392981416929478E-3</v>
      </c>
      <c r="D234" s="1">
        <f t="shared" si="10"/>
        <v>1.8357608174433929E-7</v>
      </c>
      <c r="E234" s="1">
        <f t="shared" si="11"/>
        <v>3.8394817177746922E-3</v>
      </c>
    </row>
    <row r="235" spans="1:5" x14ac:dyDescent="0.25">
      <c r="A235" s="1">
        <v>188</v>
      </c>
      <c r="B235" s="1">
        <f t="shared" si="8"/>
        <v>7.8591431743390285E-34</v>
      </c>
      <c r="C235" s="1">
        <f t="shared" si="9"/>
        <v>3.3052982187711535E-3</v>
      </c>
      <c r="D235" s="1">
        <f t="shared" si="10"/>
        <v>2.5623929440220868E-7</v>
      </c>
      <c r="E235" s="1">
        <f t="shared" si="11"/>
        <v>3.3055544580655556E-3</v>
      </c>
    </row>
    <row r="236" spans="1:5" x14ac:dyDescent="0.25">
      <c r="A236" s="1">
        <v>189</v>
      </c>
      <c r="B236" s="1">
        <f t="shared" si="8"/>
        <v>1.9827617901748202E-34</v>
      </c>
      <c r="C236" s="1">
        <f t="shared" si="9"/>
        <v>2.8251563022301282E-3</v>
      </c>
      <c r="D236" s="1">
        <f t="shared" si="10"/>
        <v>3.557607969762901E-7</v>
      </c>
      <c r="E236" s="1">
        <f t="shared" si="11"/>
        <v>2.8255120630271044E-3</v>
      </c>
    </row>
    <row r="237" spans="1:5" x14ac:dyDescent="0.25">
      <c r="A237" s="1">
        <v>190</v>
      </c>
      <c r="B237" s="1">
        <f t="shared" si="8"/>
        <v>4.9371972213879779E-35</v>
      </c>
      <c r="C237" s="1">
        <f t="shared" si="9"/>
        <v>2.3974377014512834E-3</v>
      </c>
      <c r="D237" s="1">
        <f t="shared" si="10"/>
        <v>4.9130725218823603E-7</v>
      </c>
      <c r="E237" s="1">
        <f t="shared" si="11"/>
        <v>2.3979290087034716E-3</v>
      </c>
    </row>
    <row r="238" spans="1:5" x14ac:dyDescent="0.25">
      <c r="A238" s="1">
        <v>191</v>
      </c>
      <c r="B238" s="1">
        <f t="shared" si="8"/>
        <v>1.2134028349428587E-35</v>
      </c>
      <c r="C238" s="1">
        <f t="shared" si="9"/>
        <v>2.0198782875181054E-3</v>
      </c>
      <c r="D238" s="1">
        <f t="shared" si="10"/>
        <v>6.7488688110221913E-7</v>
      </c>
      <c r="E238" s="1">
        <f t="shared" si="11"/>
        <v>2.0205531743992078E-3</v>
      </c>
    </row>
    <row r="239" spans="1:5" x14ac:dyDescent="0.25">
      <c r="A239" s="1">
        <v>192</v>
      </c>
      <c r="B239" s="1">
        <f t="shared" si="8"/>
        <v>2.94336505306744E-36</v>
      </c>
      <c r="C239" s="1">
        <f t="shared" si="9"/>
        <v>1.6895696153813205E-3</v>
      </c>
      <c r="D239" s="1">
        <f t="shared" si="10"/>
        <v>9.2212866653370799E-7</v>
      </c>
      <c r="E239" s="1">
        <f t="shared" si="11"/>
        <v>1.6904917440478543E-3</v>
      </c>
    </row>
    <row r="240" spans="1:5" x14ac:dyDescent="0.25">
      <c r="A240" s="1">
        <v>193</v>
      </c>
      <c r="B240" s="1">
        <f t="shared" si="8"/>
        <v>7.0468957628675693E-37</v>
      </c>
      <c r="C240" s="1">
        <f t="shared" si="9"/>
        <v>1.4031367528399799E-3</v>
      </c>
      <c r="D240" s="1">
        <f t="shared" si="10"/>
        <v>1.2532415536743867E-6</v>
      </c>
      <c r="E240" s="1">
        <f t="shared" si="11"/>
        <v>1.4043899943936543E-3</v>
      </c>
    </row>
    <row r="241" spans="1:5" x14ac:dyDescent="0.25">
      <c r="A241" s="1">
        <v>194</v>
      </c>
      <c r="B241" s="1">
        <f t="shared" ref="B241:B304" si="12">0.25 * _xlfn.NORM.DIST(A241, 83.3, 8.74, FALSE)</f>
        <v>1.665199072586361E-37</v>
      </c>
      <c r="C241" s="1">
        <f t="shared" ref="C241:C304" si="13">0.5* _xlfn.NORM.DIST(A241, 166.7, 11.785, FALSE)</f>
        <v>1.1569029535761328E-3</v>
      </c>
      <c r="D241" s="1">
        <f t="shared" ref="D241:D304" si="14">0.25 * _xlfn.NORM.DIST(A241, 250, 13.69, FALSE)</f>
        <v>1.6941847775174198E-6</v>
      </c>
      <c r="E241" s="1">
        <f t="shared" ref="E241:E304" si="15">SUM(B241:D241)</f>
        <v>1.1585971383536503E-3</v>
      </c>
    </row>
    <row r="242" spans="1:5" x14ac:dyDescent="0.25">
      <c r="A242" s="1">
        <v>195</v>
      </c>
      <c r="B242" s="1">
        <f t="shared" si="12"/>
        <v>3.8837303388107293E-38</v>
      </c>
      <c r="C242" s="1">
        <f t="shared" si="13"/>
        <v>9.4703685200236856E-4</v>
      </c>
      <c r="D242" s="1">
        <f t="shared" si="14"/>
        <v>2.2780827209678205E-6</v>
      </c>
      <c r="E242" s="1">
        <f t="shared" si="15"/>
        <v>9.4931493472333642E-4</v>
      </c>
    </row>
    <row r="243" spans="1:5" x14ac:dyDescent="0.25">
      <c r="A243" s="1">
        <v>196</v>
      </c>
      <c r="B243" s="1">
        <f t="shared" si="12"/>
        <v>8.9401863116927363E-39</v>
      </c>
      <c r="C243" s="1">
        <f t="shared" si="13"/>
        <v>7.6967937317599965E-4</v>
      </c>
      <c r="D243" s="1">
        <f t="shared" si="14"/>
        <v>3.0469191516033679E-6</v>
      </c>
      <c r="E243" s="1">
        <f t="shared" si="15"/>
        <v>7.7272629232760304E-4</v>
      </c>
    </row>
    <row r="244" spans="1:5" x14ac:dyDescent="0.25">
      <c r="A244" s="1">
        <v>197</v>
      </c>
      <c r="B244" s="1">
        <f t="shared" si="12"/>
        <v>2.0312279591324839E-39</v>
      </c>
      <c r="C244" s="1">
        <f t="shared" si="13"/>
        <v>6.2104895684005242E-4</v>
      </c>
      <c r="D244" s="1">
        <f t="shared" si="14"/>
        <v>4.0535459186398209E-6</v>
      </c>
      <c r="E244" s="1">
        <f t="shared" si="15"/>
        <v>6.251025027586922E-4</v>
      </c>
    </row>
    <row r="245" spans="1:5" x14ac:dyDescent="0.25">
      <c r="A245" s="1">
        <v>198</v>
      </c>
      <c r="B245" s="1">
        <f t="shared" si="12"/>
        <v>4.5549682763693801E-40</v>
      </c>
      <c r="C245" s="1">
        <f t="shared" si="13"/>
        <v>4.9752492750394295E-4</v>
      </c>
      <c r="D245" s="1">
        <f t="shared" si="14"/>
        <v>5.364039773473632E-6</v>
      </c>
      <c r="E245" s="1">
        <f t="shared" si="15"/>
        <v>5.0288896727741664E-4</v>
      </c>
    </row>
    <row r="246" spans="1:5" x14ac:dyDescent="0.25">
      <c r="A246" s="1">
        <v>199</v>
      </c>
      <c r="B246" s="1">
        <f t="shared" si="12"/>
        <v>1.0081534529304413E-40</v>
      </c>
      <c r="C246" s="1">
        <f t="shared" si="13"/>
        <v>3.9570986134301411E-4</v>
      </c>
      <c r="D246" s="1">
        <f t="shared" si="14"/>
        <v>7.0604374133227037E-6</v>
      </c>
      <c r="E246" s="1">
        <f t="shared" si="15"/>
        <v>4.0277029875633683E-4</v>
      </c>
    </row>
    <row r="247" spans="1:5" x14ac:dyDescent="0.25">
      <c r="A247" s="1">
        <v>200</v>
      </c>
      <c r="B247" s="1">
        <f t="shared" si="12"/>
        <v>2.20233064373795E-41</v>
      </c>
      <c r="C247" s="1">
        <f t="shared" si="13"/>
        <v>3.1247258574310116E-4</v>
      </c>
      <c r="D247" s="1">
        <f t="shared" si="14"/>
        <v>9.2438726066246593E-6</v>
      </c>
      <c r="E247" s="1">
        <f t="shared" si="15"/>
        <v>3.2171645834972579E-4</v>
      </c>
    </row>
    <row r="248" spans="1:5" x14ac:dyDescent="0.25">
      <c r="A248" s="1">
        <v>201</v>
      </c>
      <c r="B248" s="1">
        <f t="shared" si="12"/>
        <v>4.7484623183049361E-42</v>
      </c>
      <c r="C248" s="1">
        <f t="shared" si="13"/>
        <v>2.4497399742962853E-4</v>
      </c>
      <c r="D248" s="1">
        <f t="shared" si="14"/>
        <v>1.2038129795367746E-5</v>
      </c>
      <c r="E248" s="1">
        <f t="shared" si="15"/>
        <v>2.5701212722499626E-4</v>
      </c>
    </row>
    <row r="249" spans="1:5" x14ac:dyDescent="0.25">
      <c r="A249" s="1">
        <v>202</v>
      </c>
      <c r="B249" s="1">
        <f t="shared" si="12"/>
        <v>1.0105040646329027E-42</v>
      </c>
      <c r="C249" s="1">
        <f t="shared" si="13"/>
        <v>1.9067821444314925E-4</v>
      </c>
      <c r="D249" s="1">
        <f t="shared" si="14"/>
        <v>1.5593615355500697E-5</v>
      </c>
      <c r="E249" s="1">
        <f t="shared" si="15"/>
        <v>2.0627182979864994E-4</v>
      </c>
    </row>
    <row r="250" spans="1:5" x14ac:dyDescent="0.25">
      <c r="A250" s="1">
        <v>203</v>
      </c>
      <c r="B250" s="1">
        <f t="shared" si="12"/>
        <v>2.1224512703876471E-43</v>
      </c>
      <c r="C250" s="1">
        <f t="shared" si="13"/>
        <v>1.4735171118896806E-4</v>
      </c>
      <c r="D250" s="1">
        <f t="shared" si="14"/>
        <v>2.0091730262933668E-5</v>
      </c>
      <c r="E250" s="1">
        <f t="shared" si="15"/>
        <v>1.6744344145190173E-4</v>
      </c>
    </row>
    <row r="251" spans="1:5" x14ac:dyDescent="0.25">
      <c r="A251" s="1">
        <v>204</v>
      </c>
      <c r="B251" s="1">
        <f t="shared" si="12"/>
        <v>4.3999930020056662E-44</v>
      </c>
      <c r="C251" s="1">
        <f t="shared" si="13"/>
        <v>1.130530570776047E-4</v>
      </c>
      <c r="D251" s="1">
        <f t="shared" si="14"/>
        <v>2.5749605899311806E-5</v>
      </c>
      <c r="E251" s="1">
        <f t="shared" si="15"/>
        <v>1.3880266297691652E-4</v>
      </c>
    </row>
    <row r="252" spans="1:5" x14ac:dyDescent="0.25">
      <c r="A252" s="1">
        <v>205</v>
      </c>
      <c r="B252" s="1">
        <f t="shared" si="12"/>
        <v>9.0028670761126388E-45</v>
      </c>
      <c r="C252" s="1">
        <f t="shared" si="13"/>
        <v>8.6115724037333206E-5</v>
      </c>
      <c r="D252" s="1">
        <f t="shared" si="14"/>
        <v>3.2825137945507906E-5</v>
      </c>
      <c r="E252" s="1">
        <f t="shared" si="15"/>
        <v>1.1894086198284111E-4</v>
      </c>
    </row>
    <row r="253" spans="1:5" x14ac:dyDescent="0.25">
      <c r="A253" s="1">
        <v>206</v>
      </c>
      <c r="B253" s="1">
        <f t="shared" si="12"/>
        <v>1.818127286349891E-45</v>
      </c>
      <c r="C253" s="1">
        <f t="shared" si="13"/>
        <v>6.5126182794516597E-5</v>
      </c>
      <c r="D253" s="1">
        <f t="shared" si="14"/>
        <v>4.1622221788912623E-5</v>
      </c>
      <c r="E253" s="1">
        <f t="shared" si="15"/>
        <v>1.0674840458342922E-4</v>
      </c>
    </row>
    <row r="254" spans="1:5" x14ac:dyDescent="0.25">
      <c r="A254" s="1">
        <v>207</v>
      </c>
      <c r="B254" s="1">
        <f t="shared" si="12"/>
        <v>3.6239510756702084E-46</v>
      </c>
      <c r="C254" s="1">
        <f t="shared" si="13"/>
        <v>4.8899206311202437E-5</v>
      </c>
      <c r="D254" s="1">
        <f t="shared" si="14"/>
        <v>5.2496056946876922E-5</v>
      </c>
      <c r="E254" s="1">
        <f t="shared" si="15"/>
        <v>1.0139526325807936E-4</v>
      </c>
    </row>
    <row r="255" spans="1:5" x14ac:dyDescent="0.25">
      <c r="A255" s="1">
        <v>208</v>
      </c>
      <c r="B255" s="1">
        <f t="shared" si="12"/>
        <v>7.1294325016708771E-47</v>
      </c>
      <c r="C255" s="1">
        <f t="shared" si="13"/>
        <v>3.6451971000098015E-5</v>
      </c>
      <c r="D255" s="1">
        <f t="shared" si="14"/>
        <v>6.5858348377335232E-5</v>
      </c>
      <c r="E255" s="1">
        <f t="shared" si="15"/>
        <v>1.0231031937743325E-4</v>
      </c>
    </row>
    <row r="256" spans="1:5" x14ac:dyDescent="0.25">
      <c r="A256" s="1">
        <v>209</v>
      </c>
      <c r="B256" s="1">
        <f t="shared" si="12"/>
        <v>1.3843381639768302E-47</v>
      </c>
      <c r="C256" s="1">
        <f t="shared" si="13"/>
        <v>2.6978216890461735E-5</v>
      </c>
      <c r="D256" s="1">
        <f t="shared" si="14"/>
        <v>8.2182190319822653E-5</v>
      </c>
      <c r="E256" s="1">
        <f t="shared" si="15"/>
        <v>1.0916040721028439E-4</v>
      </c>
    </row>
    <row r="257" spans="1:5" x14ac:dyDescent="0.25">
      <c r="A257" s="1">
        <v>210</v>
      </c>
      <c r="B257" s="1">
        <f t="shared" si="12"/>
        <v>2.6530413356701276E-48</v>
      </c>
      <c r="C257" s="1">
        <f t="shared" si="13"/>
        <v>1.9823415657298067E-5</v>
      </c>
      <c r="D257" s="1">
        <f t="shared" si="14"/>
        <v>1.0200637505595285E-4</v>
      </c>
      <c r="E257" s="1">
        <f t="shared" si="15"/>
        <v>1.2182979071325091E-4</v>
      </c>
    </row>
    <row r="258" spans="1:5" x14ac:dyDescent="0.25">
      <c r="A258" s="1">
        <v>211</v>
      </c>
      <c r="B258" s="1">
        <f t="shared" si="12"/>
        <v>5.0183440866326138E-49</v>
      </c>
      <c r="C258" s="1">
        <f t="shared" si="13"/>
        <v>1.4461613572571927E-5</v>
      </c>
      <c r="D258" s="1">
        <f t="shared" si="14"/>
        <v>1.2593882674802792E-4</v>
      </c>
      <c r="E258" s="1">
        <f t="shared" si="15"/>
        <v>1.4040044032059986E-4</v>
      </c>
    </row>
    <row r="259" spans="1:5" x14ac:dyDescent="0.25">
      <c r="A259" s="1">
        <v>212</v>
      </c>
      <c r="B259" s="1">
        <f t="shared" si="12"/>
        <v>9.3689613944371671E-50</v>
      </c>
      <c r="C259" s="1">
        <f t="shared" si="13"/>
        <v>1.047437305413907E-5</v>
      </c>
      <c r="D259" s="1">
        <f t="shared" si="14"/>
        <v>1.5465882182992121E-4</v>
      </c>
      <c r="E259" s="1">
        <f t="shared" si="15"/>
        <v>1.6513319488406028E-4</v>
      </c>
    </row>
    <row r="260" spans="1:5" x14ac:dyDescent="0.25">
      <c r="A260" s="1">
        <v>213</v>
      </c>
      <c r="B260" s="1">
        <f t="shared" si="12"/>
        <v>1.7263826294604612E-50</v>
      </c>
      <c r="C260" s="1">
        <f t="shared" si="13"/>
        <v>7.5320352247645878E-6</v>
      </c>
      <c r="D260" s="1">
        <f t="shared" si="14"/>
        <v>1.8891762523634168E-4</v>
      </c>
      <c r="E260" s="1">
        <f t="shared" si="15"/>
        <v>1.9644966046110629E-4</v>
      </c>
    </row>
    <row r="261" spans="1:5" x14ac:dyDescent="0.25">
      <c r="A261" s="1">
        <v>214</v>
      </c>
      <c r="B261" s="1">
        <f t="shared" si="12"/>
        <v>3.1397658407869456E-51</v>
      </c>
      <c r="C261" s="1">
        <f t="shared" si="13"/>
        <v>5.3773668670565934E-6</v>
      </c>
      <c r="D261" s="1">
        <f t="shared" si="14"/>
        <v>2.2953714935919071E-4</v>
      </c>
      <c r="E261" s="1">
        <f t="shared" si="15"/>
        <v>2.3491451622624732E-4</v>
      </c>
    </row>
    <row r="262" spans="1:5" x14ac:dyDescent="0.25">
      <c r="A262" s="1">
        <v>215</v>
      </c>
      <c r="B262" s="1">
        <f t="shared" si="12"/>
        <v>5.6360139238328966E-52</v>
      </c>
      <c r="C262" s="1">
        <f t="shared" si="13"/>
        <v>3.8115358697647647E-6</v>
      </c>
      <c r="D262" s="1">
        <f t="shared" si="14"/>
        <v>2.7740623352037074E-4</v>
      </c>
      <c r="E262" s="1">
        <f t="shared" si="15"/>
        <v>2.8121776939013553E-4</v>
      </c>
    </row>
    <row r="263" spans="1:5" x14ac:dyDescent="0.25">
      <c r="A263" s="1">
        <v>216</v>
      </c>
      <c r="B263" s="1">
        <f t="shared" si="12"/>
        <v>9.9853076237870629E-53</v>
      </c>
      <c r="C263" s="1">
        <f t="shared" si="13"/>
        <v>2.6822754535586974E-6</v>
      </c>
      <c r="D263" s="1">
        <f t="shared" si="14"/>
        <v>3.3347414949316665E-4</v>
      </c>
      <c r="E263" s="1">
        <f t="shared" si="15"/>
        <v>3.3615642494672538E-4</v>
      </c>
    </row>
    <row r="264" spans="1:5" x14ac:dyDescent="0.25">
      <c r="A264" s="1">
        <v>217</v>
      </c>
      <c r="B264" s="1">
        <f t="shared" si="12"/>
        <v>1.7460852156687308E-53</v>
      </c>
      <c r="C264" s="1">
        <f t="shared" si="13"/>
        <v>1.8740438951977895E-6</v>
      </c>
      <c r="D264" s="1">
        <f t="shared" si="14"/>
        <v>3.987409665496653E-4</v>
      </c>
      <c r="E264" s="1">
        <f t="shared" si="15"/>
        <v>4.0061501044486307E-4</v>
      </c>
    </row>
    <row r="265" spans="1:5" x14ac:dyDescent="0.25">
      <c r="A265" s="1">
        <v>218</v>
      </c>
      <c r="B265" s="1">
        <f t="shared" si="12"/>
        <v>3.0135889568103692E-54</v>
      </c>
      <c r="C265" s="1">
        <f t="shared" si="13"/>
        <v>1.2999575256997996E-6</v>
      </c>
      <c r="D265" s="1">
        <f t="shared" si="14"/>
        <v>4.7424446057897879E-4</v>
      </c>
      <c r="E265" s="1">
        <f t="shared" si="15"/>
        <v>4.7554441810467859E-4</v>
      </c>
    </row>
    <row r="266" spans="1:5" x14ac:dyDescent="0.25">
      <c r="A266" s="1">
        <v>219</v>
      </c>
      <c r="B266" s="1">
        <f t="shared" si="12"/>
        <v>5.1335428427975216E-55</v>
      </c>
      <c r="C266" s="1">
        <f t="shared" si="13"/>
        <v>8.9526495795184879E-7</v>
      </c>
      <c r="D266" s="1">
        <f t="shared" si="14"/>
        <v>5.6104332820555269E-4</v>
      </c>
      <c r="E266" s="1">
        <f t="shared" si="15"/>
        <v>5.6193859316350453E-4</v>
      </c>
    </row>
    <row r="267" spans="1:5" x14ac:dyDescent="0.25">
      <c r="A267" s="1">
        <v>220</v>
      </c>
      <c r="B267" s="1">
        <f t="shared" si="12"/>
        <v>8.6310763911765265E-56</v>
      </c>
      <c r="C267" s="1">
        <f t="shared" si="13"/>
        <v>6.1213474219143205E-7</v>
      </c>
      <c r="D267" s="1">
        <f t="shared" si="14"/>
        <v>6.6019656971648898E-4</v>
      </c>
      <c r="E267" s="1">
        <f t="shared" si="15"/>
        <v>6.6080870445868044E-4</v>
      </c>
    </row>
    <row r="268" spans="1:5" x14ac:dyDescent="0.25">
      <c r="A268" s="1">
        <v>221</v>
      </c>
      <c r="B268" s="1">
        <f t="shared" si="12"/>
        <v>1.4322780111500781E-56</v>
      </c>
      <c r="C268" s="1">
        <f t="shared" si="13"/>
        <v>4.1554254158947467E-7</v>
      </c>
      <c r="D268" s="1">
        <f t="shared" si="14"/>
        <v>7.7273903385934625E-4</v>
      </c>
      <c r="E268" s="1">
        <f t="shared" si="15"/>
        <v>7.7315457640093573E-4</v>
      </c>
    </row>
    <row r="269" spans="1:5" x14ac:dyDescent="0.25">
      <c r="A269" s="1">
        <v>222</v>
      </c>
      <c r="B269" s="1">
        <f t="shared" si="12"/>
        <v>2.3458718460232833E-57</v>
      </c>
      <c r="C269" s="1">
        <f t="shared" si="13"/>
        <v>2.8006379814842346E-7</v>
      </c>
      <c r="D269" s="1">
        <f t="shared" si="14"/>
        <v>8.9965327152525404E-4</v>
      </c>
      <c r="E269" s="1">
        <f t="shared" si="15"/>
        <v>8.9993333532340251E-4</v>
      </c>
    </row>
    <row r="270" spans="1:5" x14ac:dyDescent="0.25">
      <c r="A270" s="1">
        <v>223</v>
      </c>
      <c r="B270" s="1">
        <f t="shared" si="12"/>
        <v>3.7922401867230695E-58</v>
      </c>
      <c r="C270" s="1">
        <f t="shared" si="13"/>
        <v>1.8740081557340048E-7</v>
      </c>
      <c r="D270" s="1">
        <f t="shared" si="14"/>
        <v>1.0418380205741201E-3</v>
      </c>
      <c r="E270" s="1">
        <f t="shared" si="15"/>
        <v>1.0420254213896936E-3</v>
      </c>
    </row>
    <row r="271" spans="1:5" x14ac:dyDescent="0.25">
      <c r="A271" s="1">
        <v>224</v>
      </c>
      <c r="B271" s="1">
        <f t="shared" si="12"/>
        <v>6.0506493291157239E-59</v>
      </c>
      <c r="C271" s="1">
        <f t="shared" si="13"/>
        <v>1.2449703219599921E-7</v>
      </c>
      <c r="D271" s="1">
        <f t="shared" si="14"/>
        <v>1.2000738353303262E-3</v>
      </c>
      <c r="E271" s="1">
        <f t="shared" si="15"/>
        <v>1.2001983323625222E-3</v>
      </c>
    </row>
    <row r="272" spans="1:5" x14ac:dyDescent="0.25">
      <c r="A272" s="1">
        <v>225</v>
      </c>
      <c r="B272" s="1">
        <f t="shared" si="12"/>
        <v>9.5284602328184638E-60</v>
      </c>
      <c r="C272" s="1">
        <f t="shared" si="13"/>
        <v>8.2114440958554918E-8</v>
      </c>
      <c r="D272" s="1">
        <f t="shared" si="14"/>
        <v>1.3749865744749996E-3</v>
      </c>
      <c r="E272" s="1">
        <f t="shared" si="15"/>
        <v>1.3750686889159583E-3</v>
      </c>
    </row>
    <row r="273" spans="1:5" x14ac:dyDescent="0.25">
      <c r="A273" s="1">
        <v>226</v>
      </c>
      <c r="B273" s="1">
        <f t="shared" si="12"/>
        <v>1.481010243363152E-60</v>
      </c>
      <c r="C273" s="1">
        <f t="shared" si="13"/>
        <v>5.3771617679376739E-8</v>
      </c>
      <c r="D273" s="1">
        <f t="shared" si="14"/>
        <v>1.5670096613649544E-3</v>
      </c>
      <c r="E273" s="1">
        <f t="shared" si="15"/>
        <v>1.5670634329826337E-3</v>
      </c>
    </row>
    <row r="274" spans="1:5" x14ac:dyDescent="0.25">
      <c r="A274" s="1">
        <v>227</v>
      </c>
      <c r="B274" s="1">
        <f t="shared" si="12"/>
        <v>2.2719982542905875E-61</v>
      </c>
      <c r="C274" s="1">
        <f t="shared" si="13"/>
        <v>3.4959054919814994E-8</v>
      </c>
      <c r="D274" s="1">
        <f t="shared" si="14"/>
        <v>1.7763462209514837E-3</v>
      </c>
      <c r="E274" s="1">
        <f t="shared" si="15"/>
        <v>1.7763811800064035E-3</v>
      </c>
    </row>
    <row r="275" spans="1:5" x14ac:dyDescent="0.25">
      <c r="A275" s="1">
        <v>228</v>
      </c>
      <c r="B275" s="1">
        <f t="shared" si="12"/>
        <v>3.4401114986127431E-62</v>
      </c>
      <c r="C275" s="1">
        <f t="shared" si="13"/>
        <v>2.2565205061701734E-8</v>
      </c>
      <c r="D275" s="1">
        <f t="shared" si="14"/>
        <v>2.0029323661503715E-3</v>
      </c>
      <c r="E275" s="1">
        <f t="shared" si="15"/>
        <v>2.0029549313554332E-3</v>
      </c>
    </row>
    <row r="276" spans="1:5" x14ac:dyDescent="0.25">
      <c r="A276" s="1">
        <v>229</v>
      </c>
      <c r="B276" s="1">
        <f t="shared" si="12"/>
        <v>5.1410477649804436E-63</v>
      </c>
      <c r="C276" s="1">
        <f t="shared" si="13"/>
        <v>1.4460786205946361E-8</v>
      </c>
      <c r="D276" s="1">
        <f t="shared" si="14"/>
        <v>2.2464030419335822E-3</v>
      </c>
      <c r="E276" s="1">
        <f t="shared" si="15"/>
        <v>2.2464175027197882E-3</v>
      </c>
    </row>
    <row r="277" spans="1:5" x14ac:dyDescent="0.25">
      <c r="A277" s="1">
        <v>230</v>
      </c>
      <c r="B277" s="1">
        <f t="shared" si="12"/>
        <v>7.5830750349183185E-64</v>
      </c>
      <c r="C277" s="1">
        <f t="shared" si="13"/>
        <v>9.2006295747013495E-9</v>
      </c>
      <c r="D277" s="1">
        <f t="shared" si="14"/>
        <v>2.5060619259508238E-3</v>
      </c>
      <c r="E277" s="1">
        <f t="shared" si="15"/>
        <v>2.5060711265803984E-3</v>
      </c>
    </row>
    <row r="278" spans="1:5" x14ac:dyDescent="0.25">
      <c r="A278" s="1">
        <v>231</v>
      </c>
      <c r="B278" s="1">
        <f t="shared" si="12"/>
        <v>1.1039608250290963E-64</v>
      </c>
      <c r="C278" s="1">
        <f t="shared" si="13"/>
        <v>5.8118742142477565E-9</v>
      </c>
      <c r="D278" s="1">
        <f t="shared" si="14"/>
        <v>2.7808569194417818E-3</v>
      </c>
      <c r="E278" s="1">
        <f t="shared" si="15"/>
        <v>2.7808627313159959E-3</v>
      </c>
    </row>
    <row r="279" spans="1:5" x14ac:dyDescent="0.25">
      <c r="A279" s="1">
        <v>232</v>
      </c>
      <c r="B279" s="1">
        <f t="shared" si="12"/>
        <v>1.586268009519811E-65</v>
      </c>
      <c r="C279" s="1">
        <f t="shared" si="13"/>
        <v>3.6449190410734035E-9</v>
      </c>
      <c r="D279" s="1">
        <f t="shared" si="14"/>
        <v>3.069362732569888E-3</v>
      </c>
      <c r="E279" s="1">
        <f t="shared" si="15"/>
        <v>3.069366377488929E-3</v>
      </c>
    </row>
    <row r="280" spans="1:5" x14ac:dyDescent="0.25">
      <c r="A280" s="1">
        <v>233</v>
      </c>
      <c r="B280" s="1">
        <f t="shared" si="12"/>
        <v>2.2496453788129442E-66</v>
      </c>
      <c r="C280" s="1">
        <f t="shared" si="13"/>
        <v>2.2695125377845449E-9</v>
      </c>
      <c r="D280" s="1">
        <f t="shared" si="14"/>
        <v>3.3697719675829158E-3</v>
      </c>
      <c r="E280" s="1">
        <f t="shared" si="15"/>
        <v>3.3697742370954538E-3</v>
      </c>
    </row>
    <row r="281" spans="1:5" x14ac:dyDescent="0.25">
      <c r="A281" s="1">
        <v>234</v>
      </c>
      <c r="B281" s="1">
        <f t="shared" si="12"/>
        <v>3.1489528382913694E-67</v>
      </c>
      <c r="C281" s="1">
        <f t="shared" si="13"/>
        <v>1.4029762070881424E-9</v>
      </c>
      <c r="D281" s="1">
        <f t="shared" si="14"/>
        <v>3.6798959280644789E-3</v>
      </c>
      <c r="E281" s="1">
        <f t="shared" si="15"/>
        <v>3.6798973310406859E-3</v>
      </c>
    </row>
    <row r="282" spans="1:5" x14ac:dyDescent="0.25">
      <c r="A282" s="1">
        <v>235</v>
      </c>
      <c r="B282" s="1">
        <f t="shared" si="12"/>
        <v>4.3504365927352141E-68</v>
      </c>
      <c r="C282" s="1">
        <f t="shared" si="13"/>
        <v>8.6107512883844704E-10</v>
      </c>
      <c r="D282" s="1">
        <f t="shared" si="14"/>
        <v>3.997176133437948E-3</v>
      </c>
      <c r="E282" s="1">
        <f t="shared" si="15"/>
        <v>3.9971769945130768E-3</v>
      </c>
    </row>
    <row r="283" spans="1:5" x14ac:dyDescent="0.25">
      <c r="A283" s="1">
        <v>236</v>
      </c>
      <c r="B283" s="1">
        <f t="shared" si="12"/>
        <v>5.9321773272719771E-69</v>
      </c>
      <c r="C283" s="1">
        <f t="shared" si="13"/>
        <v>5.2469243723511301E-10</v>
      </c>
      <c r="D283" s="1">
        <f t="shared" si="14"/>
        <v>4.318707199443504E-3</v>
      </c>
      <c r="E283" s="1">
        <f t="shared" si="15"/>
        <v>4.3187077241359411E-3</v>
      </c>
    </row>
    <row r="284" spans="1:5" x14ac:dyDescent="0.25">
      <c r="A284" s="1">
        <v>237</v>
      </c>
      <c r="B284" s="1">
        <f t="shared" si="12"/>
        <v>7.9838064632977869E-70</v>
      </c>
      <c r="C284" s="1">
        <f t="shared" si="13"/>
        <v>3.174253326122206E-10</v>
      </c>
      <c r="D284" s="1">
        <f t="shared" si="14"/>
        <v>4.6412713664822384E-3</v>
      </c>
      <c r="E284" s="1">
        <f t="shared" si="15"/>
        <v>4.641271683907571E-3</v>
      </c>
    </row>
    <row r="285" spans="1:5" x14ac:dyDescent="0.25">
      <c r="A285" s="1">
        <v>238</v>
      </c>
      <c r="B285" s="1">
        <f t="shared" si="12"/>
        <v>1.0605239263556284E-70</v>
      </c>
      <c r="C285" s="1">
        <f t="shared" si="13"/>
        <v>1.9065639719886856E-10</v>
      </c>
      <c r="D285" s="1">
        <f t="shared" si="14"/>
        <v>4.961384531677872E-3</v>
      </c>
      <c r="E285" s="1">
        <f t="shared" si="15"/>
        <v>4.9613847223342689E-3</v>
      </c>
    </row>
    <row r="286" spans="1:5" x14ac:dyDescent="0.25">
      <c r="A286" s="1">
        <v>239</v>
      </c>
      <c r="B286" s="1">
        <f t="shared" si="12"/>
        <v>1.3904184947562291E-71</v>
      </c>
      <c r="C286" s="1">
        <f t="shared" si="13"/>
        <v>1.1369312410679162E-10</v>
      </c>
      <c r="D286" s="1">
        <f t="shared" si="14"/>
        <v>5.2753531842314426E-3</v>
      </c>
      <c r="E286" s="1">
        <f t="shared" si="15"/>
        <v>5.2753532979245669E-3</v>
      </c>
    </row>
    <row r="287" spans="1:5" x14ac:dyDescent="0.25">
      <c r="A287" s="1">
        <v>240</v>
      </c>
      <c r="B287" s="1">
        <f t="shared" si="12"/>
        <v>1.7992238334206158E-72</v>
      </c>
      <c r="C287" s="1">
        <f t="shared" si="13"/>
        <v>6.7311619318280691E-11</v>
      </c>
      <c r="D287" s="1">
        <f t="shared" si="14"/>
        <v>5.5793411772450154E-3</v>
      </c>
      <c r="E287" s="1">
        <f t="shared" si="15"/>
        <v>5.5793412445566343E-3</v>
      </c>
    </row>
    <row r="288" spans="1:5" x14ac:dyDescent="0.25">
      <c r="A288" s="1">
        <v>241</v>
      </c>
      <c r="B288" s="1">
        <f t="shared" si="12"/>
        <v>2.2979440441756578E-73</v>
      </c>
      <c r="C288" s="1">
        <f t="shared" si="13"/>
        <v>3.9565703891746046E-11</v>
      </c>
      <c r="D288" s="1">
        <f t="shared" si="14"/>
        <v>5.8694448149416789E-3</v>
      </c>
      <c r="E288" s="1">
        <f t="shared" si="15"/>
        <v>5.869444854507383E-3</v>
      </c>
    </row>
    <row r="289" spans="1:5" x14ac:dyDescent="0.25">
      <c r="A289" s="1">
        <v>242</v>
      </c>
      <c r="B289" s="1">
        <f t="shared" si="12"/>
        <v>2.8967318709012092E-74</v>
      </c>
      <c r="C289" s="1">
        <f t="shared" si="13"/>
        <v>2.3089832056092198E-11</v>
      </c>
      <c r="D289" s="1">
        <f t="shared" si="14"/>
        <v>6.1417743153749519E-3</v>
      </c>
      <c r="E289" s="1">
        <f t="shared" si="15"/>
        <v>6.141774338464784E-3</v>
      </c>
    </row>
    <row r="290" spans="1:5" x14ac:dyDescent="0.25">
      <c r="A290" s="1">
        <v>243</v>
      </c>
      <c r="B290" s="1">
        <f t="shared" si="12"/>
        <v>3.6040577431720282E-75</v>
      </c>
      <c r="C290" s="1">
        <f t="shared" si="13"/>
        <v>1.3378137999041945E-11</v>
      </c>
      <c r="D290" s="1">
        <f t="shared" si="14"/>
        <v>6.392539348227531E-3</v>
      </c>
      <c r="E290" s="1">
        <f t="shared" si="15"/>
        <v>6.3925393616056691E-3</v>
      </c>
    </row>
    <row r="291" spans="1:5" x14ac:dyDescent="0.25">
      <c r="A291" s="1">
        <v>244</v>
      </c>
      <c r="B291" s="1">
        <f t="shared" si="12"/>
        <v>4.4257795513872675E-76</v>
      </c>
      <c r="C291" s="1">
        <f t="shared" si="13"/>
        <v>7.6956195397515856E-12</v>
      </c>
      <c r="D291" s="1">
        <f t="shared" si="14"/>
        <v>6.6181360663368416E-3</v>
      </c>
      <c r="E291" s="1">
        <f t="shared" si="15"/>
        <v>6.6181360740324609E-3</v>
      </c>
    </row>
    <row r="292" spans="1:5" x14ac:dyDescent="0.25">
      <c r="A292" s="1">
        <v>245</v>
      </c>
      <c r="B292" s="1">
        <f t="shared" si="12"/>
        <v>5.364168477940186E-77</v>
      </c>
      <c r="C292" s="1">
        <f t="shared" si="13"/>
        <v>4.3950571390035672E-12</v>
      </c>
      <c r="D292" s="1">
        <f t="shared" si="14"/>
        <v>6.8152328662350031E-3</v>
      </c>
      <c r="E292" s="1">
        <f t="shared" si="15"/>
        <v>6.8152328706300603E-3</v>
      </c>
    </row>
    <row r="293" spans="1:5" x14ac:dyDescent="0.25">
      <c r="A293" s="1">
        <v>246</v>
      </c>
      <c r="B293" s="1">
        <f t="shared" si="12"/>
        <v>6.4169644908914824E-78</v>
      </c>
      <c r="C293" s="1">
        <f t="shared" si="13"/>
        <v>2.4920599304918146E-12</v>
      </c>
      <c r="D293" s="1">
        <f t="shared" si="14"/>
        <v>6.9808520409788315E-3</v>
      </c>
      <c r="E293" s="1">
        <f t="shared" si="15"/>
        <v>6.980852043470891E-3</v>
      </c>
    </row>
    <row r="294" spans="1:5" x14ac:dyDescent="0.25">
      <c r="A294" s="1">
        <v>247</v>
      </c>
      <c r="B294" s="1">
        <f t="shared" si="12"/>
        <v>7.5765493595487386E-79</v>
      </c>
      <c r="C294" s="1">
        <f t="shared" si="13"/>
        <v>1.4028959411009249E-12</v>
      </c>
      <c r="D294" s="1">
        <f t="shared" si="14"/>
        <v>7.1124445362099609E-3</v>
      </c>
      <c r="E294" s="1">
        <f t="shared" si="15"/>
        <v>7.1124445376128569E-3</v>
      </c>
    </row>
    <row r="295" spans="1:5" x14ac:dyDescent="0.25">
      <c r="A295" s="1">
        <v>248</v>
      </c>
      <c r="B295" s="1">
        <f t="shared" si="12"/>
        <v>8.8293325041298121E-80</v>
      </c>
      <c r="C295" s="1">
        <f t="shared" si="13"/>
        <v>7.8408916921707116E-13</v>
      </c>
      <c r="D295" s="1">
        <f t="shared" si="14"/>
        <v>7.2079551899496656E-3</v>
      </c>
      <c r="E295" s="1">
        <f t="shared" si="15"/>
        <v>7.2079551907337546E-3</v>
      </c>
    </row>
    <row r="296" spans="1:5" x14ac:dyDescent="0.25">
      <c r="A296" s="1">
        <v>249</v>
      </c>
      <c r="B296" s="1">
        <f t="shared" si="12"/>
        <v>1.0155443213711934E-80</v>
      </c>
      <c r="C296" s="1">
        <f t="shared" si="13"/>
        <v>4.3508936799719214E-13</v>
      </c>
      <c r="D296" s="1">
        <f t="shared" si="14"/>
        <v>7.265876123842446E-3</v>
      </c>
      <c r="E296" s="1">
        <f t="shared" si="15"/>
        <v>7.2658761242775354E-3</v>
      </c>
    </row>
    <row r="297" spans="1:5" x14ac:dyDescent="0.25">
      <c r="A297" s="1">
        <v>250</v>
      </c>
      <c r="B297" s="1">
        <f t="shared" si="12"/>
        <v>1.1528810119212279E-81</v>
      </c>
      <c r="C297" s="1">
        <f t="shared" si="13"/>
        <v>2.3969805308091796E-13</v>
      </c>
      <c r="D297" s="1">
        <f t="shared" si="14"/>
        <v>7.2852863477252143E-3</v>
      </c>
      <c r="E297" s="1">
        <f t="shared" si="15"/>
        <v>7.2852863479649123E-3</v>
      </c>
    </row>
    <row r="298" spans="1:5" x14ac:dyDescent="0.25">
      <c r="A298" s="1">
        <v>251</v>
      </c>
      <c r="B298" s="1">
        <f t="shared" si="12"/>
        <v>1.2917684856447465E-82</v>
      </c>
      <c r="C298" s="1">
        <f t="shared" si="13"/>
        <v>1.3110630024777709E-13</v>
      </c>
      <c r="D298" s="1">
        <f t="shared" si="14"/>
        <v>7.265876123842446E-3</v>
      </c>
      <c r="E298" s="1">
        <f t="shared" si="15"/>
        <v>7.265876123973552E-3</v>
      </c>
    </row>
    <row r="299" spans="1:5" x14ac:dyDescent="0.25">
      <c r="A299" s="1">
        <v>252</v>
      </c>
      <c r="B299" s="1">
        <f t="shared" si="12"/>
        <v>1.4285632658221031E-83</v>
      </c>
      <c r="C299" s="1">
        <f t="shared" si="13"/>
        <v>7.1196007019564983E-14</v>
      </c>
      <c r="D299" s="1">
        <f t="shared" si="14"/>
        <v>7.2079551899496656E-3</v>
      </c>
      <c r="E299" s="1">
        <f t="shared" si="15"/>
        <v>7.2079551900208613E-3</v>
      </c>
    </row>
    <row r="300" spans="1:5" x14ac:dyDescent="0.25">
      <c r="A300" s="1">
        <v>253</v>
      </c>
      <c r="B300" s="1">
        <f t="shared" si="12"/>
        <v>1.5592970822197836E-84</v>
      </c>
      <c r="C300" s="1">
        <f t="shared" si="13"/>
        <v>3.8384928163135273E-14</v>
      </c>
      <c r="D300" s="1">
        <f t="shared" si="14"/>
        <v>7.1124445362099609E-3</v>
      </c>
      <c r="E300" s="1">
        <f t="shared" si="15"/>
        <v>7.112444536248346E-3</v>
      </c>
    </row>
    <row r="301" spans="1:5" x14ac:dyDescent="0.25">
      <c r="A301" s="1">
        <v>254</v>
      </c>
      <c r="B301" s="1">
        <f t="shared" si="12"/>
        <v>1.6798590697097269E-85</v>
      </c>
      <c r="C301" s="1">
        <f t="shared" si="13"/>
        <v>2.0546547045325586E-14</v>
      </c>
      <c r="D301" s="1">
        <f t="shared" si="14"/>
        <v>6.9808520409788315E-3</v>
      </c>
      <c r="E301" s="1">
        <f t="shared" si="15"/>
        <v>6.9808520409993784E-3</v>
      </c>
    </row>
    <row r="302" spans="1:5" x14ac:dyDescent="0.25">
      <c r="A302" s="1">
        <v>255</v>
      </c>
      <c r="B302" s="1">
        <f t="shared" si="12"/>
        <v>1.7862055122231947E-86</v>
      </c>
      <c r="C302" s="1">
        <f t="shared" si="13"/>
        <v>1.0919178895515807E-14</v>
      </c>
      <c r="D302" s="1">
        <f t="shared" si="14"/>
        <v>6.8152328662350031E-3</v>
      </c>
      <c r="E302" s="1">
        <f t="shared" si="15"/>
        <v>6.8152328662459223E-3</v>
      </c>
    </row>
    <row r="303" spans="1:5" x14ac:dyDescent="0.25">
      <c r="A303" s="1">
        <v>256</v>
      </c>
      <c r="B303" s="1">
        <f t="shared" si="12"/>
        <v>1.8745826645550566E-87</v>
      </c>
      <c r="C303" s="1">
        <f t="shared" si="13"/>
        <v>5.7612157008385159E-15</v>
      </c>
      <c r="D303" s="1">
        <f t="shared" si="14"/>
        <v>6.6181360663368416E-3</v>
      </c>
      <c r="E303" s="1">
        <f t="shared" si="15"/>
        <v>6.6181360663426026E-3</v>
      </c>
    </row>
    <row r="304" spans="1:5" x14ac:dyDescent="0.25">
      <c r="A304" s="1">
        <v>257</v>
      </c>
      <c r="B304" s="1">
        <f t="shared" si="12"/>
        <v>1.9417457454907135E-88</v>
      </c>
      <c r="C304" s="1">
        <f t="shared" si="13"/>
        <v>3.0179449220236848E-15</v>
      </c>
      <c r="D304" s="1">
        <f t="shared" si="14"/>
        <v>6.392539348227531E-3</v>
      </c>
      <c r="E304" s="1">
        <f t="shared" si="15"/>
        <v>6.3925393482305486E-3</v>
      </c>
    </row>
    <row r="305" spans="1:5" x14ac:dyDescent="0.25">
      <c r="A305" s="1">
        <v>258</v>
      </c>
      <c r="B305" s="1">
        <f t="shared" ref="B305:B368" si="16">0.25 * _xlfn.NORM.DIST(A305, 83.3, 8.74, FALSE)</f>
        <v>1.9851563738078286E-89</v>
      </c>
      <c r="C305" s="1">
        <f t="shared" ref="C305:C368" si="17">0.5* _xlfn.NORM.DIST(A305, 166.7, 11.785, FALSE)</f>
        <v>1.569572942159974E-15</v>
      </c>
      <c r="D305" s="1">
        <f t="shared" ref="D305:D368" si="18">0.25 * _xlfn.NORM.DIST(A305, 250, 13.69, FALSE)</f>
        <v>6.1417743153749519E-3</v>
      </c>
      <c r="E305" s="1">
        <f t="shared" ref="E305:E368" si="19">SUM(B305:D305)</f>
        <v>6.1417743153765218E-3</v>
      </c>
    </row>
    <row r="306" spans="1:5" x14ac:dyDescent="0.25">
      <c r="A306" s="1">
        <v>259</v>
      </c>
      <c r="B306" s="1">
        <f t="shared" si="16"/>
        <v>2.003141724561175E-90</v>
      </c>
      <c r="C306" s="1">
        <f t="shared" si="17"/>
        <v>8.1044718252680835E-16</v>
      </c>
      <c r="D306" s="1">
        <f t="shared" si="18"/>
        <v>5.8694448149416789E-3</v>
      </c>
      <c r="E306" s="1">
        <f t="shared" si="19"/>
        <v>5.8694448149424891E-3</v>
      </c>
    </row>
    <row r="307" spans="1:5" x14ac:dyDescent="0.25">
      <c r="A307" s="1">
        <v>260</v>
      </c>
      <c r="B307" s="1">
        <f t="shared" si="16"/>
        <v>1.9950014993723894E-91</v>
      </c>
      <c r="C307" s="1">
        <f t="shared" si="17"/>
        <v>4.1547122457644046E-16</v>
      </c>
      <c r="D307" s="1">
        <f t="shared" si="18"/>
        <v>5.5793411772450154E-3</v>
      </c>
      <c r="E307" s="1">
        <f t="shared" si="19"/>
        <v>5.5793411772454308E-3</v>
      </c>
    </row>
    <row r="308" spans="1:5" x14ac:dyDescent="0.25">
      <c r="A308" s="1">
        <v>261</v>
      </c>
      <c r="B308" s="1">
        <f t="shared" si="16"/>
        <v>1.9610531757815923E-92</v>
      </c>
      <c r="C308" s="1">
        <f t="shared" si="17"/>
        <v>2.1146096172423205E-16</v>
      </c>
      <c r="D308" s="1">
        <f t="shared" si="18"/>
        <v>5.2753531842314426E-3</v>
      </c>
      <c r="E308" s="1">
        <f t="shared" si="19"/>
        <v>5.2753531842316542E-3</v>
      </c>
    </row>
    <row r="309" spans="1:5" x14ac:dyDescent="0.25">
      <c r="A309" s="1">
        <v>262</v>
      </c>
      <c r="B309" s="1">
        <f t="shared" si="16"/>
        <v>1.9026114600675416E-93</v>
      </c>
      <c r="C309" s="1">
        <f t="shared" si="17"/>
        <v>1.0685441618002722E-16</v>
      </c>
      <c r="D309" s="1">
        <f t="shared" si="18"/>
        <v>4.961384531677872E-3</v>
      </c>
      <c r="E309" s="1">
        <f t="shared" si="19"/>
        <v>4.9613845316779787E-3</v>
      </c>
    </row>
    <row r="310" spans="1:5" x14ac:dyDescent="0.25">
      <c r="A310" s="1">
        <v>263</v>
      </c>
      <c r="B310" s="1">
        <f t="shared" si="16"/>
        <v>1.8219037972304076E-94</v>
      </c>
      <c r="C310" s="1">
        <f t="shared" si="17"/>
        <v>5.3607773294410669E-17</v>
      </c>
      <c r="D310" s="1">
        <f t="shared" si="18"/>
        <v>4.6412713664822384E-3</v>
      </c>
      <c r="E310" s="1">
        <f t="shared" si="19"/>
        <v>4.6412713664822922E-3</v>
      </c>
    </row>
    <row r="311" spans="1:5" x14ac:dyDescent="0.25">
      <c r="A311" s="1">
        <v>264</v>
      </c>
      <c r="B311" s="1">
        <f t="shared" si="16"/>
        <v>1.7219295070336115E-95</v>
      </c>
      <c r="C311" s="1">
        <f t="shared" si="17"/>
        <v>2.6701525904701497E-17</v>
      </c>
      <c r="D311" s="1">
        <f t="shared" si="18"/>
        <v>4.318707199443504E-3</v>
      </c>
      <c r="E311" s="1">
        <f t="shared" si="19"/>
        <v>4.3187071994435309E-3</v>
      </c>
    </row>
    <row r="312" spans="1:5" x14ac:dyDescent="0.25">
      <c r="A312" s="1">
        <v>265</v>
      </c>
      <c r="B312" s="1">
        <f t="shared" si="16"/>
        <v>1.6062749621767829E-96</v>
      </c>
      <c r="C312" s="1">
        <f t="shared" si="17"/>
        <v>1.3204361711675976E-17</v>
      </c>
      <c r="D312" s="1">
        <f t="shared" si="18"/>
        <v>3.997176133437948E-3</v>
      </c>
      <c r="E312" s="1">
        <f t="shared" si="19"/>
        <v>3.9971761334379611E-3</v>
      </c>
    </row>
    <row r="313" spans="1:5" x14ac:dyDescent="0.25">
      <c r="A313" s="1">
        <v>266</v>
      </c>
      <c r="B313" s="1">
        <f t="shared" si="16"/>
        <v>1.4789006710372276E-97</v>
      </c>
      <c r="C313" s="1">
        <f t="shared" si="17"/>
        <v>6.4829364498924677E-18</v>
      </c>
      <c r="D313" s="1">
        <f t="shared" si="18"/>
        <v>3.6798959280644789E-3</v>
      </c>
      <c r="E313" s="1">
        <f t="shared" si="19"/>
        <v>3.6798959280644854E-3</v>
      </c>
    </row>
    <row r="314" spans="1:5" x14ac:dyDescent="0.25">
      <c r="A314" s="1">
        <v>267</v>
      </c>
      <c r="B314" s="1">
        <f t="shared" si="16"/>
        <v>1.3439178324917089E-98</v>
      </c>
      <c r="C314" s="1">
        <f t="shared" si="17"/>
        <v>3.160087702983986E-18</v>
      </c>
      <c r="D314" s="1">
        <f t="shared" si="18"/>
        <v>3.3697719675829158E-3</v>
      </c>
      <c r="E314" s="1">
        <f t="shared" si="19"/>
        <v>3.3697719675829189E-3</v>
      </c>
    </row>
    <row r="315" spans="1:5" x14ac:dyDescent="0.25">
      <c r="A315" s="1">
        <v>268</v>
      </c>
      <c r="B315" s="1">
        <f t="shared" si="16"/>
        <v>1.2053717860316697E-99</v>
      </c>
      <c r="C315" s="1">
        <f t="shared" si="17"/>
        <v>1.5293240814754017E-18</v>
      </c>
      <c r="D315" s="1">
        <f t="shared" si="18"/>
        <v>3.069362732569888E-3</v>
      </c>
      <c r="E315" s="1">
        <f t="shared" si="19"/>
        <v>3.0693627325698897E-3</v>
      </c>
    </row>
    <row r="316" spans="1:5" x14ac:dyDescent="0.25">
      <c r="A316" s="1">
        <v>269</v>
      </c>
      <c r="B316" s="1">
        <f t="shared" si="16"/>
        <v>1.0670479146844352E-100</v>
      </c>
      <c r="C316" s="1">
        <f t="shared" si="17"/>
        <v>7.3480641349279952E-19</v>
      </c>
      <c r="D316" s="1">
        <f t="shared" si="18"/>
        <v>2.7808569194417818E-3</v>
      </c>
      <c r="E316" s="1">
        <f t="shared" si="19"/>
        <v>2.7808569194417826E-3</v>
      </c>
    </row>
    <row r="317" spans="1:5" x14ac:dyDescent="0.25">
      <c r="A317" s="1">
        <v>270</v>
      </c>
      <c r="B317" s="1">
        <f t="shared" si="16"/>
        <v>9.3231230347120203E-102</v>
      </c>
      <c r="C317" s="1">
        <f t="shared" si="17"/>
        <v>3.5052529947822648E-19</v>
      </c>
      <c r="D317" s="1">
        <f t="shared" si="18"/>
        <v>2.5060619259508238E-3</v>
      </c>
      <c r="E317" s="1">
        <f t="shared" si="19"/>
        <v>2.5060619259508242E-3</v>
      </c>
    </row>
    <row r="318" spans="1:5" x14ac:dyDescent="0.25">
      <c r="A318" s="1">
        <v>271</v>
      </c>
      <c r="B318" s="1">
        <f t="shared" si="16"/>
        <v>8.0399528922021321E-103</v>
      </c>
      <c r="C318" s="1">
        <f t="shared" si="17"/>
        <v>1.6601174690447102E-19</v>
      </c>
      <c r="D318" s="1">
        <f t="shared" si="18"/>
        <v>2.2464030419335822E-3</v>
      </c>
      <c r="E318" s="1">
        <f t="shared" si="19"/>
        <v>2.2464030419335822E-3</v>
      </c>
    </row>
    <row r="319" spans="1:5" x14ac:dyDescent="0.25">
      <c r="A319" s="1">
        <v>272</v>
      </c>
      <c r="B319" s="1">
        <f t="shared" si="16"/>
        <v>6.8432150372391604E-104</v>
      </c>
      <c r="C319" s="1">
        <f t="shared" si="17"/>
        <v>7.8060493016555072E-20</v>
      </c>
      <c r="D319" s="1">
        <f t="shared" si="18"/>
        <v>2.0029323661503715E-3</v>
      </c>
      <c r="E319" s="1">
        <f t="shared" si="19"/>
        <v>2.0029323661503715E-3</v>
      </c>
    </row>
    <row r="320" spans="1:5" x14ac:dyDescent="0.25">
      <c r="A320" s="1">
        <v>273</v>
      </c>
      <c r="B320" s="1">
        <f t="shared" si="16"/>
        <v>5.7488564559522605E-105</v>
      </c>
      <c r="C320" s="1">
        <f t="shared" si="17"/>
        <v>3.644154488360536E-20</v>
      </c>
      <c r="D320" s="1">
        <f t="shared" si="18"/>
        <v>1.7763462209514837E-3</v>
      </c>
      <c r="E320" s="1">
        <f t="shared" si="19"/>
        <v>1.7763462209514837E-3</v>
      </c>
    </row>
    <row r="321" spans="1:5" x14ac:dyDescent="0.25">
      <c r="A321" s="1">
        <v>274</v>
      </c>
      <c r="B321" s="1">
        <f t="shared" si="16"/>
        <v>4.7666947002358357E-106</v>
      </c>
      <c r="C321" s="1">
        <f t="shared" si="17"/>
        <v>1.6890219351969227E-20</v>
      </c>
      <c r="D321" s="1">
        <f t="shared" si="18"/>
        <v>1.5670096613649544E-3</v>
      </c>
      <c r="E321" s="1">
        <f t="shared" si="19"/>
        <v>1.5670096613649544E-3</v>
      </c>
    </row>
    <row r="322" spans="1:5" x14ac:dyDescent="0.25">
      <c r="A322" s="1">
        <v>275</v>
      </c>
      <c r="B322" s="1">
        <f t="shared" si="16"/>
        <v>3.9009268225856024E-107</v>
      </c>
      <c r="C322" s="1">
        <f t="shared" si="17"/>
        <v>7.772251034034769E-21</v>
      </c>
      <c r="D322" s="1">
        <f t="shared" si="18"/>
        <v>1.3749865744749996E-3</v>
      </c>
      <c r="E322" s="1">
        <f t="shared" si="19"/>
        <v>1.3749865744749996E-3</v>
      </c>
    </row>
    <row r="323" spans="1:5" x14ac:dyDescent="0.25">
      <c r="A323" s="1">
        <v>276</v>
      </c>
      <c r="B323" s="1">
        <f t="shared" si="16"/>
        <v>3.1508872621981877E-108</v>
      </c>
      <c r="C323" s="1">
        <f t="shared" si="17"/>
        <v>3.5508421675881884E-21</v>
      </c>
      <c r="D323" s="1">
        <f t="shared" si="18"/>
        <v>1.2000738353303262E-3</v>
      </c>
      <c r="E323" s="1">
        <f t="shared" si="19"/>
        <v>1.2000738353303262E-3</v>
      </c>
    </row>
    <row r="324" spans="1:5" x14ac:dyDescent="0.25">
      <c r="A324" s="1">
        <v>277</v>
      </c>
      <c r="B324" s="1">
        <f t="shared" si="16"/>
        <v>2.5119588465705007E-109</v>
      </c>
      <c r="C324" s="1">
        <f t="shared" si="17"/>
        <v>1.6106046096215122E-21</v>
      </c>
      <c r="D324" s="1">
        <f t="shared" si="18"/>
        <v>1.0418380205741201E-3</v>
      </c>
      <c r="E324" s="1">
        <f t="shared" si="19"/>
        <v>1.0418380205741201E-3</v>
      </c>
    </row>
    <row r="325" spans="1:5" x14ac:dyDescent="0.25">
      <c r="A325" s="1">
        <v>278</v>
      </c>
      <c r="B325" s="1">
        <f t="shared" si="16"/>
        <v>1.9765452901003547E-110</v>
      </c>
      <c r="C325" s="1">
        <f t="shared" si="17"/>
        <v>7.2530308812367153E-22</v>
      </c>
      <c r="D325" s="1">
        <f t="shared" si="18"/>
        <v>8.9965327152525404E-4</v>
      </c>
      <c r="E325" s="1">
        <f t="shared" si="19"/>
        <v>8.9965327152525404E-4</v>
      </c>
    </row>
    <row r="326" spans="1:5" x14ac:dyDescent="0.25">
      <c r="A326" s="1">
        <v>279</v>
      </c>
      <c r="B326" s="1">
        <f t="shared" si="16"/>
        <v>1.5350255715020357E-111</v>
      </c>
      <c r="C326" s="1">
        <f t="shared" si="17"/>
        <v>3.2428221825497724E-22</v>
      </c>
      <c r="D326" s="1">
        <f t="shared" si="18"/>
        <v>7.7273903385934625E-4</v>
      </c>
      <c r="E326" s="1">
        <f t="shared" si="19"/>
        <v>7.7273903385934625E-4</v>
      </c>
    </row>
    <row r="327" spans="1:5" x14ac:dyDescent="0.25">
      <c r="A327" s="1">
        <v>280</v>
      </c>
      <c r="B327" s="1">
        <f t="shared" si="16"/>
        <v>1.1766276604395633E-112</v>
      </c>
      <c r="C327" s="1">
        <f t="shared" si="17"/>
        <v>1.4394605381810848E-22</v>
      </c>
      <c r="D327" s="1">
        <f t="shared" si="18"/>
        <v>6.6019656971648898E-4</v>
      </c>
      <c r="E327" s="1">
        <f t="shared" si="19"/>
        <v>6.6019656971648898E-4</v>
      </c>
    </row>
    <row r="328" spans="1:5" x14ac:dyDescent="0.25">
      <c r="A328" s="1">
        <v>281</v>
      </c>
      <c r="B328" s="1">
        <f t="shared" si="16"/>
        <v>8.9017847209628195E-114</v>
      </c>
      <c r="C328" s="1">
        <f t="shared" si="17"/>
        <v>6.3437989629044637E-23</v>
      </c>
      <c r="D328" s="1">
        <f t="shared" si="18"/>
        <v>5.6104332820555269E-4</v>
      </c>
      <c r="E328" s="1">
        <f t="shared" si="19"/>
        <v>5.6104332820555269E-4</v>
      </c>
    </row>
    <row r="329" spans="1:5" x14ac:dyDescent="0.25">
      <c r="A329" s="1">
        <v>282</v>
      </c>
      <c r="B329" s="1">
        <f t="shared" si="16"/>
        <v>6.6470617786525156E-115</v>
      </c>
      <c r="C329" s="1">
        <f t="shared" si="17"/>
        <v>2.775697149738867E-23</v>
      </c>
      <c r="D329" s="1">
        <f t="shared" si="18"/>
        <v>4.7424446057897879E-4</v>
      </c>
      <c r="E329" s="1">
        <f t="shared" si="19"/>
        <v>4.7424446057897879E-4</v>
      </c>
    </row>
    <row r="330" spans="1:5" x14ac:dyDescent="0.25">
      <c r="A330" s="1">
        <v>283</v>
      </c>
      <c r="B330" s="1">
        <f t="shared" si="16"/>
        <v>4.8988815375076418E-116</v>
      </c>
      <c r="C330" s="1">
        <f t="shared" si="17"/>
        <v>1.2057791421086017E-23</v>
      </c>
      <c r="D330" s="1">
        <f t="shared" si="18"/>
        <v>3.987409665496653E-4</v>
      </c>
      <c r="E330" s="1">
        <f t="shared" si="19"/>
        <v>3.987409665496653E-4</v>
      </c>
    </row>
    <row r="331" spans="1:5" x14ac:dyDescent="0.25">
      <c r="A331" s="1">
        <v>284</v>
      </c>
      <c r="B331" s="1">
        <f t="shared" si="16"/>
        <v>3.5635163410184554E-117</v>
      </c>
      <c r="C331" s="1">
        <f t="shared" si="17"/>
        <v>5.2003967046128755E-24</v>
      </c>
      <c r="D331" s="1">
        <f t="shared" si="18"/>
        <v>3.3347414949316665E-4</v>
      </c>
      <c r="E331" s="1">
        <f t="shared" si="19"/>
        <v>3.3347414949316665E-4</v>
      </c>
    </row>
    <row r="332" spans="1:5" x14ac:dyDescent="0.25">
      <c r="A332" s="1">
        <v>285</v>
      </c>
      <c r="B332" s="1">
        <f t="shared" si="16"/>
        <v>2.5584395857831008E-118</v>
      </c>
      <c r="C332" s="1">
        <f t="shared" si="17"/>
        <v>2.2267845609322761E-24</v>
      </c>
      <c r="D332" s="1">
        <f t="shared" si="18"/>
        <v>2.7740623352037074E-4</v>
      </c>
      <c r="E332" s="1">
        <f t="shared" si="19"/>
        <v>2.7740623352037074E-4</v>
      </c>
    </row>
    <row r="333" spans="1:5" x14ac:dyDescent="0.25">
      <c r="A333" s="1">
        <v>286</v>
      </c>
      <c r="B333" s="1">
        <f t="shared" si="16"/>
        <v>1.8129514418539781E-119</v>
      </c>
      <c r="C333" s="1">
        <f t="shared" si="17"/>
        <v>9.4665764912345637E-25</v>
      </c>
      <c r="D333" s="1">
        <f t="shared" si="18"/>
        <v>2.2953714935919071E-4</v>
      </c>
      <c r="E333" s="1">
        <f t="shared" si="19"/>
        <v>2.2953714935919071E-4</v>
      </c>
    </row>
    <row r="334" spans="1:5" x14ac:dyDescent="0.25">
      <c r="A334" s="1">
        <v>287</v>
      </c>
      <c r="B334" s="1">
        <f t="shared" si="16"/>
        <v>1.267978158087468E-120</v>
      </c>
      <c r="C334" s="1">
        <f t="shared" si="17"/>
        <v>3.9955881370248843E-25</v>
      </c>
      <c r="D334" s="1">
        <f t="shared" si="18"/>
        <v>1.8891762523634168E-4</v>
      </c>
      <c r="E334" s="1">
        <f t="shared" si="19"/>
        <v>1.8891762523634168E-4</v>
      </c>
    </row>
    <row r="335" spans="1:5" x14ac:dyDescent="0.25">
      <c r="A335" s="1">
        <v>288</v>
      </c>
      <c r="B335" s="1">
        <f t="shared" si="16"/>
        <v>8.7529000144896263E-122</v>
      </c>
      <c r="C335" s="1">
        <f t="shared" si="17"/>
        <v>1.6743317062926486E-25</v>
      </c>
      <c r="D335" s="1">
        <f t="shared" si="18"/>
        <v>1.5465882182992121E-4</v>
      </c>
      <c r="E335" s="1">
        <f t="shared" si="19"/>
        <v>1.5465882182992121E-4</v>
      </c>
    </row>
    <row r="336" spans="1:5" x14ac:dyDescent="0.25">
      <c r="A336" s="1">
        <v>289</v>
      </c>
      <c r="B336" s="1">
        <f t="shared" si="16"/>
        <v>5.9635759813413111E-123</v>
      </c>
      <c r="C336" s="1">
        <f t="shared" si="17"/>
        <v>6.9658690751196563E-26</v>
      </c>
      <c r="D336" s="1">
        <f t="shared" si="18"/>
        <v>1.2593882674802792E-4</v>
      </c>
      <c r="E336" s="1">
        <f t="shared" si="19"/>
        <v>1.2593882674802792E-4</v>
      </c>
    </row>
    <row r="337" spans="1:5" x14ac:dyDescent="0.25">
      <c r="A337" s="1">
        <v>290</v>
      </c>
      <c r="B337" s="1">
        <f t="shared" si="16"/>
        <v>4.0102933384690116E-124</v>
      </c>
      <c r="C337" s="1">
        <f t="shared" si="17"/>
        <v>2.8772800430867287E-26</v>
      </c>
      <c r="D337" s="1">
        <f t="shared" si="18"/>
        <v>1.0200637505595285E-4</v>
      </c>
      <c r="E337" s="1">
        <f t="shared" si="19"/>
        <v>1.0200637505595285E-4</v>
      </c>
    </row>
    <row r="338" spans="1:5" x14ac:dyDescent="0.25">
      <c r="A338" s="1">
        <v>291</v>
      </c>
      <c r="B338" s="1">
        <f t="shared" si="16"/>
        <v>2.6617062187110139E-125</v>
      </c>
      <c r="C338" s="1">
        <f t="shared" si="17"/>
        <v>1.1799455835714973E-26</v>
      </c>
      <c r="D338" s="1">
        <f t="shared" si="18"/>
        <v>8.2182190319822653E-5</v>
      </c>
      <c r="E338" s="1">
        <f t="shared" si="19"/>
        <v>8.2182190319822653E-5</v>
      </c>
    </row>
    <row r="339" spans="1:5" x14ac:dyDescent="0.25">
      <c r="A339" s="1">
        <v>292</v>
      </c>
      <c r="B339" s="1">
        <f t="shared" si="16"/>
        <v>1.7436475029328627E-126</v>
      </c>
      <c r="C339" s="1">
        <f t="shared" si="17"/>
        <v>4.8041310350271025E-27</v>
      </c>
      <c r="D339" s="1">
        <f t="shared" si="18"/>
        <v>6.5858348377335232E-5</v>
      </c>
      <c r="E339" s="1">
        <f t="shared" si="19"/>
        <v>6.5858348377335232E-5</v>
      </c>
    </row>
    <row r="340" spans="1:5" x14ac:dyDescent="0.25">
      <c r="A340" s="1">
        <v>293</v>
      </c>
      <c r="B340" s="1">
        <f t="shared" si="16"/>
        <v>1.1273839808342748E-127</v>
      </c>
      <c r="C340" s="1">
        <f t="shared" si="17"/>
        <v>1.9419620098031419E-27</v>
      </c>
      <c r="D340" s="1">
        <f t="shared" si="18"/>
        <v>5.2496056946876922E-5</v>
      </c>
      <c r="E340" s="1">
        <f t="shared" si="19"/>
        <v>5.2496056946876922E-5</v>
      </c>
    </row>
    <row r="341" spans="1:5" x14ac:dyDescent="0.25">
      <c r="A341" s="1">
        <v>294</v>
      </c>
      <c r="B341" s="1">
        <f t="shared" si="16"/>
        <v>7.1944835091862114E-129</v>
      </c>
      <c r="C341" s="1">
        <f t="shared" si="17"/>
        <v>7.7936273188351417E-28</v>
      </c>
      <c r="D341" s="1">
        <f t="shared" si="18"/>
        <v>4.1622221788912623E-5</v>
      </c>
      <c r="E341" s="1">
        <f t="shared" si="19"/>
        <v>4.1622221788912623E-5</v>
      </c>
    </row>
    <row r="342" spans="1:5" x14ac:dyDescent="0.25">
      <c r="A342" s="1">
        <v>295</v>
      </c>
      <c r="B342" s="1">
        <f t="shared" si="16"/>
        <v>4.5314999322758663E-130</v>
      </c>
      <c r="C342" s="1">
        <f t="shared" si="17"/>
        <v>3.1053571730490226E-28</v>
      </c>
      <c r="D342" s="1">
        <f t="shared" si="18"/>
        <v>3.2825137945507906E-5</v>
      </c>
      <c r="E342" s="1">
        <f t="shared" si="19"/>
        <v>3.2825137945507906E-5</v>
      </c>
    </row>
    <row r="343" spans="1:5" x14ac:dyDescent="0.25">
      <c r="A343" s="1">
        <v>296</v>
      </c>
      <c r="B343" s="1">
        <f t="shared" si="16"/>
        <v>2.8170783677479736E-131</v>
      </c>
      <c r="C343" s="1">
        <f t="shared" si="17"/>
        <v>1.2284472250961341E-28</v>
      </c>
      <c r="D343" s="1">
        <f t="shared" si="18"/>
        <v>2.5749605899311806E-5</v>
      </c>
      <c r="E343" s="1">
        <f t="shared" si="19"/>
        <v>2.5749605899311806E-5</v>
      </c>
    </row>
    <row r="344" spans="1:5" x14ac:dyDescent="0.25">
      <c r="A344" s="1">
        <v>297</v>
      </c>
      <c r="B344" s="1">
        <f t="shared" si="16"/>
        <v>1.7285043389677502E-132</v>
      </c>
      <c r="C344" s="1">
        <f t="shared" si="17"/>
        <v>4.8247461452867479E-29</v>
      </c>
      <c r="D344" s="1">
        <f t="shared" si="18"/>
        <v>2.0091730262933668E-5</v>
      </c>
      <c r="E344" s="1">
        <f t="shared" si="19"/>
        <v>2.0091730262933668E-5</v>
      </c>
    </row>
    <row r="345" spans="1:5" x14ac:dyDescent="0.25">
      <c r="A345" s="1">
        <v>298</v>
      </c>
      <c r="B345" s="1">
        <f t="shared" si="16"/>
        <v>1.0467828865525214E-133</v>
      </c>
      <c r="C345" s="1">
        <f t="shared" si="17"/>
        <v>1.8813320397390786E-29</v>
      </c>
      <c r="D345" s="1">
        <f t="shared" si="18"/>
        <v>1.5593615355500697E-5</v>
      </c>
      <c r="E345" s="1">
        <f t="shared" si="19"/>
        <v>1.5593615355500697E-5</v>
      </c>
    </row>
    <row r="346" spans="1:5" x14ac:dyDescent="0.25">
      <c r="A346" s="1">
        <v>299</v>
      </c>
      <c r="B346" s="1">
        <f t="shared" si="16"/>
        <v>6.2568731203873141E-135</v>
      </c>
      <c r="C346" s="1">
        <f t="shared" si="17"/>
        <v>7.2833210714621562E-30</v>
      </c>
      <c r="D346" s="1">
        <f t="shared" si="18"/>
        <v>1.2038129795367746E-5</v>
      </c>
      <c r="E346" s="1">
        <f t="shared" si="19"/>
        <v>1.2038129795367746E-5</v>
      </c>
    </row>
    <row r="347" spans="1:5" x14ac:dyDescent="0.25">
      <c r="A347" s="1">
        <v>300</v>
      </c>
      <c r="B347" s="1">
        <f t="shared" si="16"/>
        <v>3.6912433458954116E-136</v>
      </c>
      <c r="C347" s="1">
        <f t="shared" si="17"/>
        <v>2.7994098015984201E-30</v>
      </c>
      <c r="D347" s="1">
        <f t="shared" si="18"/>
        <v>9.2438726066246593E-6</v>
      </c>
      <c r="E347" s="1">
        <f t="shared" si="19"/>
        <v>9.2438726066246593E-6</v>
      </c>
    </row>
    <row r="348" spans="1:5" x14ac:dyDescent="0.25">
      <c r="A348" s="1">
        <v>301</v>
      </c>
      <c r="B348" s="1">
        <f t="shared" si="16"/>
        <v>2.1493275248004709E-137</v>
      </c>
      <c r="C348" s="1">
        <f t="shared" si="17"/>
        <v>1.0682589056936328E-30</v>
      </c>
      <c r="D348" s="1">
        <f t="shared" si="18"/>
        <v>7.0604374133227037E-6</v>
      </c>
      <c r="E348" s="1">
        <f t="shared" si="19"/>
        <v>7.0604374133227037E-6</v>
      </c>
    </row>
    <row r="349" spans="1:5" x14ac:dyDescent="0.25">
      <c r="A349" s="1">
        <v>302</v>
      </c>
      <c r="B349" s="1">
        <f t="shared" si="16"/>
        <v>1.2352279731942143E-138</v>
      </c>
      <c r="C349" s="1">
        <f t="shared" si="17"/>
        <v>4.0472458369074065E-31</v>
      </c>
      <c r="D349" s="1">
        <f t="shared" si="18"/>
        <v>5.364039773473632E-6</v>
      </c>
      <c r="E349" s="1">
        <f t="shared" si="19"/>
        <v>5.364039773473632E-6</v>
      </c>
    </row>
    <row r="350" spans="1:5" x14ac:dyDescent="0.25">
      <c r="A350" s="1">
        <v>303</v>
      </c>
      <c r="B350" s="1">
        <f t="shared" si="16"/>
        <v>7.0065823463988166E-140</v>
      </c>
      <c r="C350" s="1">
        <f t="shared" si="17"/>
        <v>1.5223540527128827E-31</v>
      </c>
      <c r="D350" s="1">
        <f t="shared" si="18"/>
        <v>4.0535459186398209E-6</v>
      </c>
      <c r="E350" s="1">
        <f t="shared" si="19"/>
        <v>4.0535459186398209E-6</v>
      </c>
    </row>
    <row r="351" spans="1:5" x14ac:dyDescent="0.25">
      <c r="A351" s="1">
        <v>304</v>
      </c>
      <c r="B351" s="1">
        <f t="shared" si="16"/>
        <v>3.9226534100791066E-141</v>
      </c>
      <c r="C351" s="1">
        <f t="shared" si="17"/>
        <v>5.6851872079510604E-32</v>
      </c>
      <c r="D351" s="1">
        <f t="shared" si="18"/>
        <v>3.0469191516033679E-6</v>
      </c>
      <c r="E351" s="1">
        <f t="shared" si="19"/>
        <v>3.0469191516033679E-6</v>
      </c>
    </row>
    <row r="352" spans="1:5" x14ac:dyDescent="0.25">
      <c r="A352" s="1">
        <v>305</v>
      </c>
      <c r="B352" s="1">
        <f t="shared" si="16"/>
        <v>2.1675455791460265E-142</v>
      </c>
      <c r="C352" s="1">
        <f t="shared" si="17"/>
        <v>2.1078848982180631E-32</v>
      </c>
      <c r="D352" s="1">
        <f t="shared" si="18"/>
        <v>2.2780827209678205E-6</v>
      </c>
      <c r="E352" s="1">
        <f t="shared" si="19"/>
        <v>2.2780827209678205E-6</v>
      </c>
    </row>
    <row r="353" spans="1:5" x14ac:dyDescent="0.25">
      <c r="A353" s="1">
        <v>306</v>
      </c>
      <c r="B353" s="1">
        <f t="shared" si="16"/>
        <v>1.1821460471142557E-143</v>
      </c>
      <c r="C353" s="1">
        <f t="shared" si="17"/>
        <v>7.7592909044443171E-33</v>
      </c>
      <c r="D353" s="1">
        <f t="shared" si="18"/>
        <v>1.6941847775174198E-6</v>
      </c>
      <c r="E353" s="1">
        <f t="shared" si="19"/>
        <v>1.6941847775174198E-6</v>
      </c>
    </row>
    <row r="354" spans="1:5" x14ac:dyDescent="0.25">
      <c r="A354" s="1">
        <v>307</v>
      </c>
      <c r="B354" s="1">
        <f t="shared" si="16"/>
        <v>6.3633912233648462E-145</v>
      </c>
      <c r="C354" s="1">
        <f t="shared" si="17"/>
        <v>2.8357647263106064E-33</v>
      </c>
      <c r="D354" s="1">
        <f t="shared" si="18"/>
        <v>1.2532415536743867E-6</v>
      </c>
      <c r="E354" s="1">
        <f t="shared" si="19"/>
        <v>1.2532415536743867E-6</v>
      </c>
    </row>
    <row r="355" spans="1:5" x14ac:dyDescent="0.25">
      <c r="A355" s="1">
        <v>308</v>
      </c>
      <c r="B355" s="1">
        <f t="shared" si="16"/>
        <v>3.380809572463295E-146</v>
      </c>
      <c r="C355" s="1">
        <f t="shared" si="17"/>
        <v>1.0289431435521088E-33</v>
      </c>
      <c r="D355" s="1">
        <f t="shared" si="18"/>
        <v>9.2212866653370799E-7</v>
      </c>
      <c r="E355" s="1">
        <f t="shared" si="19"/>
        <v>9.2212866653370799E-7</v>
      </c>
    </row>
    <row r="356" spans="1:5" x14ac:dyDescent="0.25">
      <c r="A356" s="1">
        <v>309</v>
      </c>
      <c r="B356" s="1">
        <f t="shared" si="16"/>
        <v>1.7728312096728969E-147</v>
      </c>
      <c r="C356" s="1">
        <f t="shared" si="17"/>
        <v>3.7066841313984745E-34</v>
      </c>
      <c r="D356" s="1">
        <f t="shared" si="18"/>
        <v>6.7488688110221913E-7</v>
      </c>
      <c r="E356" s="1">
        <f t="shared" si="19"/>
        <v>6.7488688110221913E-7</v>
      </c>
    </row>
    <row r="357" spans="1:5" x14ac:dyDescent="0.25">
      <c r="A357" s="1">
        <v>310</v>
      </c>
      <c r="B357" s="1">
        <f t="shared" si="16"/>
        <v>9.175477241636438E-149</v>
      </c>
      <c r="C357" s="1">
        <f t="shared" si="17"/>
        <v>1.3257230270014436E-34</v>
      </c>
      <c r="D357" s="1">
        <f t="shared" si="18"/>
        <v>4.9130725218823603E-7</v>
      </c>
      <c r="E357" s="1">
        <f t="shared" si="19"/>
        <v>4.9130725218823603E-7</v>
      </c>
    </row>
    <row r="358" spans="1:5" x14ac:dyDescent="0.25">
      <c r="A358" s="1">
        <v>311</v>
      </c>
      <c r="B358" s="1">
        <f t="shared" si="16"/>
        <v>4.6871033588238495E-150</v>
      </c>
      <c r="C358" s="1">
        <f t="shared" si="17"/>
        <v>4.7075293947743357E-35</v>
      </c>
      <c r="D358" s="1">
        <f t="shared" si="18"/>
        <v>3.557607969762901E-7</v>
      </c>
      <c r="E358" s="1">
        <f t="shared" si="19"/>
        <v>3.557607969762901E-7</v>
      </c>
    </row>
    <row r="359" spans="1:5" x14ac:dyDescent="0.25">
      <c r="A359" s="1">
        <v>312</v>
      </c>
      <c r="B359" s="1">
        <f t="shared" si="16"/>
        <v>2.3631701555013294E-151</v>
      </c>
      <c r="C359" s="1">
        <f t="shared" si="17"/>
        <v>1.6596109859441858E-35</v>
      </c>
      <c r="D359" s="1">
        <f t="shared" si="18"/>
        <v>2.5623929440220868E-7</v>
      </c>
      <c r="E359" s="1">
        <f t="shared" si="19"/>
        <v>2.5623929440220868E-7</v>
      </c>
    </row>
    <row r="360" spans="1:5" x14ac:dyDescent="0.25">
      <c r="A360" s="1">
        <v>313</v>
      </c>
      <c r="B360" s="1">
        <f t="shared" si="16"/>
        <v>1.1759803108056818E-152</v>
      </c>
      <c r="C360" s="1">
        <f t="shared" si="17"/>
        <v>5.8088823590025009E-36</v>
      </c>
      <c r="D360" s="1">
        <f t="shared" si="18"/>
        <v>1.8357608174433929E-7</v>
      </c>
      <c r="E360" s="1">
        <f t="shared" si="19"/>
        <v>1.8357608174433929E-7</v>
      </c>
    </row>
    <row r="361" spans="1:5" x14ac:dyDescent="0.25">
      <c r="A361" s="1">
        <v>314</v>
      </c>
      <c r="B361" s="1">
        <f t="shared" si="16"/>
        <v>5.7759004873815309E-154</v>
      </c>
      <c r="C361" s="1">
        <f t="shared" si="17"/>
        <v>2.0186074942586614E-36</v>
      </c>
      <c r="D361" s="1">
        <f t="shared" si="18"/>
        <v>1.3081850694571081E-7</v>
      </c>
      <c r="E361" s="1">
        <f t="shared" si="19"/>
        <v>1.3081850694571081E-7</v>
      </c>
    </row>
    <row r="362" spans="1:5" x14ac:dyDescent="0.25">
      <c r="A362" s="1">
        <v>315</v>
      </c>
      <c r="B362" s="1">
        <f t="shared" si="16"/>
        <v>2.7999736762963204E-155</v>
      </c>
      <c r="C362" s="1">
        <f t="shared" si="17"/>
        <v>6.9644079249436206E-37</v>
      </c>
      <c r="D362" s="1">
        <f t="shared" si="18"/>
        <v>9.2726743117236323E-8</v>
      </c>
      <c r="E362" s="1">
        <f t="shared" si="19"/>
        <v>9.2726743117236323E-8</v>
      </c>
    </row>
    <row r="363" spans="1:5" x14ac:dyDescent="0.25">
      <c r="A363" s="1">
        <v>316</v>
      </c>
      <c r="B363" s="1">
        <f t="shared" si="16"/>
        <v>1.3396852909123E-156</v>
      </c>
      <c r="C363" s="1">
        <f t="shared" si="17"/>
        <v>2.3855555860863707E-37</v>
      </c>
      <c r="D363" s="1">
        <f t="shared" si="18"/>
        <v>6.5376783537036899E-8</v>
      </c>
      <c r="E363" s="1">
        <f t="shared" si="19"/>
        <v>6.5376783537036899E-8</v>
      </c>
    </row>
    <row r="364" spans="1:5" x14ac:dyDescent="0.25">
      <c r="A364" s="1">
        <v>317</v>
      </c>
      <c r="B364" s="1">
        <f t="shared" si="16"/>
        <v>6.3265395044426418E-158</v>
      </c>
      <c r="C364" s="1">
        <f t="shared" si="17"/>
        <v>8.1127463896062252E-38</v>
      </c>
      <c r="D364" s="1">
        <f t="shared" si="18"/>
        <v>4.5848467064096884E-8</v>
      </c>
      <c r="E364" s="1">
        <f t="shared" si="19"/>
        <v>4.5848467064096884E-8</v>
      </c>
    </row>
    <row r="365" spans="1:5" x14ac:dyDescent="0.25">
      <c r="A365" s="1">
        <v>318</v>
      </c>
      <c r="B365" s="1">
        <f t="shared" si="16"/>
        <v>2.948792775638255E-159</v>
      </c>
      <c r="C365" s="1">
        <f t="shared" si="17"/>
        <v>2.7391718437096481E-38</v>
      </c>
      <c r="D365" s="1">
        <f t="shared" si="18"/>
        <v>3.1982235381221889E-8</v>
      </c>
      <c r="E365" s="1">
        <f t="shared" si="19"/>
        <v>3.1982235381221889E-8</v>
      </c>
    </row>
    <row r="366" spans="1:5" x14ac:dyDescent="0.25">
      <c r="A366" s="1">
        <v>319</v>
      </c>
      <c r="B366" s="1">
        <f t="shared" si="16"/>
        <v>1.3565533494755757E-160</v>
      </c>
      <c r="C366" s="1">
        <f t="shared" si="17"/>
        <v>9.1821350836859242E-39</v>
      </c>
      <c r="D366" s="1">
        <f t="shared" si="18"/>
        <v>2.2190931696984821E-8</v>
      </c>
      <c r="E366" s="1">
        <f t="shared" si="19"/>
        <v>2.2190931696984821E-8</v>
      </c>
    </row>
    <row r="367" spans="1:5" x14ac:dyDescent="0.25">
      <c r="A367" s="1">
        <v>320</v>
      </c>
      <c r="B367" s="1">
        <f t="shared" si="16"/>
        <v>6.1594806704610556E-162</v>
      </c>
      <c r="C367" s="1">
        <f t="shared" si="17"/>
        <v>3.0559137753644022E-39</v>
      </c>
      <c r="D367" s="1">
        <f t="shared" si="18"/>
        <v>1.5315281509581214E-8</v>
      </c>
      <c r="E367" s="1">
        <f t="shared" si="19"/>
        <v>1.5315281509581214E-8</v>
      </c>
    </row>
    <row r="368" spans="1:5" x14ac:dyDescent="0.25">
      <c r="A368" s="1">
        <v>321</v>
      </c>
      <c r="B368" s="1">
        <f t="shared" si="16"/>
        <v>2.7603611715231781E-163</v>
      </c>
      <c r="C368" s="1">
        <f t="shared" si="17"/>
        <v>1.0097445887692932E-39</v>
      </c>
      <c r="D368" s="1">
        <f t="shared" si="18"/>
        <v>1.051373816503517E-8</v>
      </c>
      <c r="E368" s="1">
        <f t="shared" si="19"/>
        <v>1.051373816503517E-8</v>
      </c>
    </row>
    <row r="369" spans="1:5" x14ac:dyDescent="0.25">
      <c r="A369" s="1">
        <v>322</v>
      </c>
      <c r="B369" s="1">
        <f t="shared" ref="B369:B432" si="20">0.25 * _xlfn.NORM.DIST(A369, 83.3, 8.74, FALSE)</f>
        <v>1.2209624773905827E-164</v>
      </c>
      <c r="C369" s="1">
        <f t="shared" ref="C369:C432" si="21">0.5* _xlfn.NORM.DIST(A369, 166.7, 11.785, FALSE)</f>
        <v>3.3124931778379782E-40</v>
      </c>
      <c r="D369" s="1">
        <f t="shared" ref="D369:D432" si="22">0.25 * _xlfn.NORM.DIST(A369, 250, 13.69, FALSE)</f>
        <v>7.179133942422807E-9</v>
      </c>
      <c r="E369" s="1">
        <f t="shared" ref="E369:E432" si="23">SUM(B369:D369)</f>
        <v>7.179133942422807E-9</v>
      </c>
    </row>
    <row r="370" spans="1:5" x14ac:dyDescent="0.25">
      <c r="A370" s="1">
        <v>323</v>
      </c>
      <c r="B370" s="1">
        <f t="shared" si="20"/>
        <v>5.3303204579954453E-166</v>
      </c>
      <c r="C370" s="1">
        <f t="shared" si="21"/>
        <v>1.0788758463372473E-40</v>
      </c>
      <c r="D370" s="1">
        <f t="shared" si="22"/>
        <v>4.8760671857292965E-9</v>
      </c>
      <c r="E370" s="1">
        <f t="shared" si="23"/>
        <v>4.8760671857292965E-9</v>
      </c>
    </row>
    <row r="371" spans="1:5" x14ac:dyDescent="0.25">
      <c r="A371" s="1">
        <v>324</v>
      </c>
      <c r="B371" s="1">
        <f t="shared" si="20"/>
        <v>2.2967774529816616E-167</v>
      </c>
      <c r="C371" s="1">
        <f t="shared" si="21"/>
        <v>3.4886786532719579E-41</v>
      </c>
      <c r="D371" s="1">
        <f t="shared" si="22"/>
        <v>3.2942005223351978E-9</v>
      </c>
      <c r="E371" s="1">
        <f t="shared" si="23"/>
        <v>3.2942005223351978E-9</v>
      </c>
    </row>
    <row r="372" spans="1:5" x14ac:dyDescent="0.25">
      <c r="A372" s="1">
        <v>325</v>
      </c>
      <c r="B372" s="1">
        <f t="shared" si="20"/>
        <v>9.7678528220031056E-169</v>
      </c>
      <c r="C372" s="1">
        <f t="shared" si="21"/>
        <v>1.1200140873055646E-41</v>
      </c>
      <c r="D372" s="1">
        <f t="shared" si="22"/>
        <v>2.2136711663698599E-9</v>
      </c>
      <c r="E372" s="1">
        <f t="shared" si="23"/>
        <v>2.2136711663698599E-9</v>
      </c>
    </row>
    <row r="373" spans="1:5" x14ac:dyDescent="0.25">
      <c r="A373" s="1">
        <v>326</v>
      </c>
      <c r="B373" s="1">
        <f t="shared" si="20"/>
        <v>4.1000947476646715E-170</v>
      </c>
      <c r="C373" s="1">
        <f t="shared" si="21"/>
        <v>3.5699244250293769E-42</v>
      </c>
      <c r="D373" s="1">
        <f t="shared" si="22"/>
        <v>1.4796497011405117E-9</v>
      </c>
      <c r="E373" s="1">
        <f t="shared" si="23"/>
        <v>1.4796497011405117E-9</v>
      </c>
    </row>
    <row r="374" spans="1:5" x14ac:dyDescent="0.25">
      <c r="A374" s="1">
        <v>327</v>
      </c>
      <c r="B374" s="1">
        <f t="shared" si="20"/>
        <v>1.6986475335899638E-171</v>
      </c>
      <c r="C374" s="1">
        <f t="shared" si="21"/>
        <v>1.1297115763133706E-42</v>
      </c>
      <c r="D374" s="1">
        <f t="shared" si="22"/>
        <v>9.8375610169278513E-10</v>
      </c>
      <c r="E374" s="1">
        <f t="shared" si="23"/>
        <v>9.8375610169278513E-10</v>
      </c>
    </row>
    <row r="375" spans="1:5" x14ac:dyDescent="0.25">
      <c r="A375" s="1">
        <v>328</v>
      </c>
      <c r="B375" s="1">
        <f t="shared" si="20"/>
        <v>6.9458795433366565E-173</v>
      </c>
      <c r="C375" s="1">
        <f t="shared" si="21"/>
        <v>3.5493526852404557E-43</v>
      </c>
      <c r="D375" s="1">
        <f t="shared" si="22"/>
        <v>6.5057698161756837E-10</v>
      </c>
      <c r="E375" s="1">
        <f t="shared" si="23"/>
        <v>6.5057698161756837E-10</v>
      </c>
    </row>
    <row r="376" spans="1:5" x14ac:dyDescent="0.25">
      <c r="A376" s="1">
        <v>329</v>
      </c>
      <c r="B376" s="1">
        <f t="shared" si="20"/>
        <v>2.8032757264210544E-174</v>
      </c>
      <c r="C376" s="1">
        <f t="shared" si="21"/>
        <v>1.1071430852185834E-43</v>
      </c>
      <c r="D376" s="1">
        <f t="shared" si="22"/>
        <v>4.279496477708778E-10</v>
      </c>
      <c r="E376" s="1">
        <f t="shared" si="23"/>
        <v>4.279496477708778E-10</v>
      </c>
    </row>
    <row r="377" spans="1:5" x14ac:dyDescent="0.25">
      <c r="A377" s="1">
        <v>330</v>
      </c>
      <c r="B377" s="1">
        <f t="shared" si="20"/>
        <v>1.1166549103552737E-175</v>
      </c>
      <c r="C377" s="1">
        <f t="shared" si="21"/>
        <v>3.4287148471888537E-44</v>
      </c>
      <c r="D377" s="1">
        <f t="shared" si="22"/>
        <v>2.8000731629845511E-10</v>
      </c>
      <c r="E377" s="1">
        <f t="shared" si="23"/>
        <v>2.8000731629845511E-10</v>
      </c>
    </row>
    <row r="378" spans="1:5" x14ac:dyDescent="0.25">
      <c r="A378" s="1">
        <v>331</v>
      </c>
      <c r="B378" s="1">
        <f t="shared" si="20"/>
        <v>4.3902245911552596E-177</v>
      </c>
      <c r="C378" s="1">
        <f t="shared" si="21"/>
        <v>1.0542218272790532E-44</v>
      </c>
      <c r="D378" s="1">
        <f t="shared" si="22"/>
        <v>1.8223374947112011E-10</v>
      </c>
      <c r="E378" s="1">
        <f t="shared" si="23"/>
        <v>1.8223374947112011E-10</v>
      </c>
    </row>
    <row r="379" spans="1:5" x14ac:dyDescent="0.25">
      <c r="A379" s="1">
        <v>332</v>
      </c>
      <c r="B379" s="1">
        <f t="shared" si="20"/>
        <v>1.7036057239037517E-178</v>
      </c>
      <c r="C379" s="1">
        <f t="shared" si="21"/>
        <v>3.2181453798310874E-45</v>
      </c>
      <c r="D379" s="1">
        <f t="shared" si="22"/>
        <v>1.1796983405624769E-10</v>
      </c>
      <c r="E379" s="1">
        <f t="shared" si="23"/>
        <v>1.1796983405624769E-10</v>
      </c>
    </row>
    <row r="380" spans="1:5" x14ac:dyDescent="0.25">
      <c r="A380" s="1">
        <v>333</v>
      </c>
      <c r="B380" s="1">
        <f t="shared" si="20"/>
        <v>6.5247824745672754E-180</v>
      </c>
      <c r="C380" s="1">
        <f t="shared" si="21"/>
        <v>9.7533168886433859E-46</v>
      </c>
      <c r="D380" s="1">
        <f t="shared" si="22"/>
        <v>7.5961905767306407E-11</v>
      </c>
      <c r="E380" s="1">
        <f t="shared" si="23"/>
        <v>7.5961905767306407E-11</v>
      </c>
    </row>
    <row r="381" spans="1:5" x14ac:dyDescent="0.25">
      <c r="A381" s="1">
        <v>334</v>
      </c>
      <c r="B381" s="1">
        <f t="shared" si="20"/>
        <v>2.466479891289229E-181</v>
      </c>
      <c r="C381" s="1">
        <f t="shared" si="21"/>
        <v>2.9347562076863201E-46</v>
      </c>
      <c r="D381" s="1">
        <f t="shared" si="22"/>
        <v>4.8652309554228869E-11</v>
      </c>
      <c r="E381" s="1">
        <f t="shared" si="23"/>
        <v>4.8652309554228869E-11</v>
      </c>
    </row>
    <row r="382" spans="1:5" x14ac:dyDescent="0.25">
      <c r="A382" s="1">
        <v>335</v>
      </c>
      <c r="B382" s="1">
        <f t="shared" si="20"/>
        <v>9.2024552684322338E-183</v>
      </c>
      <c r="C382" s="1">
        <f t="shared" si="21"/>
        <v>8.7672773347878707E-47</v>
      </c>
      <c r="D382" s="1">
        <f t="shared" si="22"/>
        <v>3.099515385799204E-11</v>
      </c>
      <c r="E382" s="1">
        <f t="shared" si="23"/>
        <v>3.099515385799204E-11</v>
      </c>
    </row>
    <row r="383" spans="1:5" x14ac:dyDescent="0.25">
      <c r="A383" s="1">
        <v>336</v>
      </c>
      <c r="B383" s="1">
        <f t="shared" si="20"/>
        <v>3.3887883513108767E-184</v>
      </c>
      <c r="C383" s="1">
        <f t="shared" si="21"/>
        <v>2.6003420524221841E-47</v>
      </c>
      <c r="D383" s="1">
        <f t="shared" si="22"/>
        <v>1.9641147520806322E-11</v>
      </c>
      <c r="E383" s="1">
        <f t="shared" si="23"/>
        <v>1.9641147520806322E-11</v>
      </c>
    </row>
    <row r="384" spans="1:5" x14ac:dyDescent="0.25">
      <c r="A384" s="1">
        <v>337</v>
      </c>
      <c r="B384" s="1">
        <f t="shared" si="20"/>
        <v>1.2316853350102713E-185</v>
      </c>
      <c r="C384" s="1">
        <f t="shared" si="21"/>
        <v>7.6571866547493988E-48</v>
      </c>
      <c r="D384" s="1">
        <f t="shared" si="22"/>
        <v>1.238005700592073E-11</v>
      </c>
      <c r="E384" s="1">
        <f t="shared" si="23"/>
        <v>1.238005700592073E-11</v>
      </c>
    </row>
    <row r="385" spans="1:5" x14ac:dyDescent="0.25">
      <c r="A385" s="1">
        <v>338</v>
      </c>
      <c r="B385" s="1">
        <f t="shared" si="20"/>
        <v>4.4184474078891557E-187</v>
      </c>
      <c r="C385" s="1">
        <f t="shared" si="21"/>
        <v>2.2386232392948327E-48</v>
      </c>
      <c r="D385" s="1">
        <f t="shared" si="22"/>
        <v>7.7617769314943904E-12</v>
      </c>
      <c r="E385" s="1">
        <f t="shared" si="23"/>
        <v>7.7617769314943904E-12</v>
      </c>
    </row>
    <row r="386" spans="1:5" x14ac:dyDescent="0.25">
      <c r="A386" s="1">
        <v>339</v>
      </c>
      <c r="B386" s="1">
        <f t="shared" si="20"/>
        <v>1.5644230421148626E-188</v>
      </c>
      <c r="C386" s="1">
        <f t="shared" si="21"/>
        <v>6.497791950313666E-49</v>
      </c>
      <c r="D386" s="1">
        <f t="shared" si="22"/>
        <v>4.8404127459591778E-12</v>
      </c>
      <c r="E386" s="1">
        <f t="shared" si="23"/>
        <v>4.8404127459591778E-12</v>
      </c>
    </row>
    <row r="387" spans="1:5" x14ac:dyDescent="0.25">
      <c r="A387" s="1">
        <v>340</v>
      </c>
      <c r="B387" s="1">
        <f t="shared" si="20"/>
        <v>5.4670533558659356E-190</v>
      </c>
      <c r="C387" s="1">
        <f t="shared" si="21"/>
        <v>1.8725077135605609E-49</v>
      </c>
      <c r="D387" s="1">
        <f t="shared" si="22"/>
        <v>3.0025231208549561E-12</v>
      </c>
      <c r="E387" s="1">
        <f t="shared" si="23"/>
        <v>3.0025231208549561E-12</v>
      </c>
    </row>
    <row r="388" spans="1:5" x14ac:dyDescent="0.25">
      <c r="A388" s="1">
        <v>341</v>
      </c>
      <c r="B388" s="1">
        <f t="shared" si="20"/>
        <v>1.8856757470867378E-191</v>
      </c>
      <c r="C388" s="1">
        <f t="shared" si="21"/>
        <v>5.3574046313246374E-50</v>
      </c>
      <c r="D388" s="1">
        <f t="shared" si="22"/>
        <v>1.852563276352201E-12</v>
      </c>
      <c r="E388" s="1">
        <f t="shared" si="23"/>
        <v>1.852563276352201E-12</v>
      </c>
    </row>
    <row r="389" spans="1:5" x14ac:dyDescent="0.25">
      <c r="A389" s="1">
        <v>342</v>
      </c>
      <c r="B389" s="1">
        <f t="shared" si="20"/>
        <v>6.4194129318591266E-193</v>
      </c>
      <c r="C389" s="1">
        <f t="shared" si="21"/>
        <v>1.5218025305075509E-50</v>
      </c>
      <c r="D389" s="1">
        <f t="shared" si="22"/>
        <v>1.1369528821317321E-12</v>
      </c>
      <c r="E389" s="1">
        <f t="shared" si="23"/>
        <v>1.1369528821317321E-12</v>
      </c>
    </row>
    <row r="390" spans="1:5" x14ac:dyDescent="0.25">
      <c r="A390" s="1">
        <v>343</v>
      </c>
      <c r="B390" s="1">
        <f t="shared" si="20"/>
        <v>2.156940696726908E-194</v>
      </c>
      <c r="C390" s="1">
        <f t="shared" si="21"/>
        <v>4.2917575006124908E-51</v>
      </c>
      <c r="D390" s="1">
        <f t="shared" si="22"/>
        <v>6.9405615345737209E-13</v>
      </c>
      <c r="E390" s="1">
        <f t="shared" si="23"/>
        <v>6.9405615345737209E-13</v>
      </c>
    </row>
    <row r="391" spans="1:5" x14ac:dyDescent="0.25">
      <c r="A391" s="1">
        <v>344</v>
      </c>
      <c r="B391" s="1">
        <f t="shared" si="20"/>
        <v>7.1531229701283077E-196</v>
      </c>
      <c r="C391" s="1">
        <f t="shared" si="21"/>
        <v>1.2016695806386362E-51</v>
      </c>
      <c r="D391" s="1">
        <f t="shared" si="22"/>
        <v>4.2143390946590938E-13</v>
      </c>
      <c r="E391" s="1">
        <f t="shared" si="23"/>
        <v>4.2143390946590938E-13</v>
      </c>
    </row>
    <row r="392" spans="1:5" x14ac:dyDescent="0.25">
      <c r="A392" s="1">
        <v>345</v>
      </c>
      <c r="B392" s="1">
        <f t="shared" si="20"/>
        <v>2.3413577219864837E-197</v>
      </c>
      <c r="C392" s="1">
        <f t="shared" si="21"/>
        <v>3.3404731080101132E-52</v>
      </c>
      <c r="D392" s="1">
        <f t="shared" si="22"/>
        <v>2.5453474329532555E-13</v>
      </c>
      <c r="E392" s="1">
        <f t="shared" si="23"/>
        <v>2.5453474329532555E-13</v>
      </c>
    </row>
    <row r="393" spans="1:5" x14ac:dyDescent="0.25">
      <c r="A393" s="1">
        <v>346</v>
      </c>
      <c r="B393" s="1">
        <f t="shared" si="20"/>
        <v>7.5640509829851079E-199</v>
      </c>
      <c r="C393" s="1">
        <f t="shared" si="21"/>
        <v>9.2194266209522631E-53</v>
      </c>
      <c r="D393" s="1">
        <f t="shared" si="22"/>
        <v>1.529140497982773E-13</v>
      </c>
      <c r="E393" s="1">
        <f t="shared" si="23"/>
        <v>1.529140497982773E-13</v>
      </c>
    </row>
    <row r="394" spans="1:5" x14ac:dyDescent="0.25">
      <c r="A394" s="1">
        <v>347</v>
      </c>
      <c r="B394" s="1">
        <f t="shared" si="20"/>
        <v>2.4118801168524444E-200</v>
      </c>
      <c r="C394" s="1">
        <f t="shared" si="21"/>
        <v>2.5262298586555272E-53</v>
      </c>
      <c r="D394" s="1">
        <f t="shared" si="22"/>
        <v>9.1375640861547647E-14</v>
      </c>
      <c r="E394" s="1">
        <f t="shared" si="23"/>
        <v>9.1375640861547647E-14</v>
      </c>
    </row>
    <row r="395" spans="1:5" x14ac:dyDescent="0.25">
      <c r="A395" s="1">
        <v>348</v>
      </c>
      <c r="B395" s="1">
        <f t="shared" si="20"/>
        <v>7.5905209217650426E-202</v>
      </c>
      <c r="C395" s="1">
        <f t="shared" si="21"/>
        <v>6.8725013784989196E-54</v>
      </c>
      <c r="D395" s="1">
        <f t="shared" si="22"/>
        <v>5.4312051474095207E-14</v>
      </c>
      <c r="E395" s="1">
        <f t="shared" si="23"/>
        <v>5.4312051474095207E-14</v>
      </c>
    </row>
    <row r="396" spans="1:5" x14ac:dyDescent="0.25">
      <c r="A396" s="1">
        <v>349</v>
      </c>
      <c r="B396" s="1">
        <f t="shared" si="20"/>
        <v>2.3577732738191251E-203</v>
      </c>
      <c r="C396" s="1">
        <f t="shared" si="21"/>
        <v>1.8562216213767142E-54</v>
      </c>
      <c r="D396" s="1">
        <f t="shared" si="22"/>
        <v>3.2110325241396511E-14</v>
      </c>
      <c r="E396" s="1">
        <f t="shared" si="23"/>
        <v>3.2110325241396511E-14</v>
      </c>
    </row>
    <row r="397" spans="1:5" x14ac:dyDescent="0.25">
      <c r="A397" s="1">
        <v>350</v>
      </c>
      <c r="B397" s="1">
        <f t="shared" si="20"/>
        <v>7.2284818329345241E-205</v>
      </c>
      <c r="C397" s="1">
        <f t="shared" si="21"/>
        <v>4.9775752947621598E-55</v>
      </c>
      <c r="D397" s="1">
        <f t="shared" si="22"/>
        <v>1.8883214550125648E-14</v>
      </c>
      <c r="E397" s="1">
        <f t="shared" si="23"/>
        <v>1.8883214550125648E-14</v>
      </c>
    </row>
    <row r="398" spans="1:5" x14ac:dyDescent="0.25">
      <c r="A398" s="1">
        <v>351</v>
      </c>
      <c r="B398" s="1">
        <f t="shared" si="20"/>
        <v>2.1872918850393022E-206</v>
      </c>
      <c r="C398" s="1">
        <f t="shared" si="21"/>
        <v>1.3251921944499896E-55</v>
      </c>
      <c r="D398" s="1">
        <f t="shared" si="22"/>
        <v>1.1045614362500364E-14</v>
      </c>
      <c r="E398" s="1">
        <f t="shared" si="23"/>
        <v>1.1045614362500364E-14</v>
      </c>
    </row>
    <row r="399" spans="1:5" x14ac:dyDescent="0.25">
      <c r="A399" s="1">
        <v>352</v>
      </c>
      <c r="B399" s="1">
        <f t="shared" si="20"/>
        <v>6.5325235497792199E-208</v>
      </c>
      <c r="C399" s="1">
        <f t="shared" si="21"/>
        <v>3.5027804720566489E-56</v>
      </c>
      <c r="D399" s="1">
        <f t="shared" si="22"/>
        <v>6.4266781575756278E-15</v>
      </c>
      <c r="E399" s="1">
        <f t="shared" si="23"/>
        <v>6.4266781575756278E-15</v>
      </c>
    </row>
    <row r="400" spans="1:5" x14ac:dyDescent="0.25">
      <c r="A400" s="1">
        <v>353</v>
      </c>
      <c r="B400" s="1">
        <f t="shared" si="20"/>
        <v>1.9256165986227844E-209</v>
      </c>
      <c r="C400" s="1">
        <f t="shared" si="21"/>
        <v>9.1922111189179172E-57</v>
      </c>
      <c r="D400" s="1">
        <f t="shared" si="22"/>
        <v>3.7193406101346137E-15</v>
      </c>
      <c r="E400" s="1">
        <f t="shared" si="23"/>
        <v>3.7193406101346137E-15</v>
      </c>
    </row>
    <row r="401" spans="1:5" x14ac:dyDescent="0.25">
      <c r="A401" s="1">
        <v>354</v>
      </c>
      <c r="B401" s="1">
        <f t="shared" si="20"/>
        <v>5.6023888909278765E-211</v>
      </c>
      <c r="C401" s="1">
        <f t="shared" si="21"/>
        <v>2.3949700154406145E-57</v>
      </c>
      <c r="D401" s="1">
        <f t="shared" si="22"/>
        <v>2.1410562564803362E-15</v>
      </c>
      <c r="E401" s="1">
        <f t="shared" si="23"/>
        <v>2.1410562564803362E-15</v>
      </c>
    </row>
    <row r="402" spans="1:5" x14ac:dyDescent="0.25">
      <c r="A402" s="1">
        <v>355</v>
      </c>
      <c r="B402" s="1">
        <f t="shared" si="20"/>
        <v>1.608760068502758E-212</v>
      </c>
      <c r="C402" s="1">
        <f t="shared" si="21"/>
        <v>6.1951694611047132E-58</v>
      </c>
      <c r="D402" s="1">
        <f t="shared" si="22"/>
        <v>1.2259504883520181E-15</v>
      </c>
      <c r="E402" s="1">
        <f t="shared" si="23"/>
        <v>1.2259504883520181E-15</v>
      </c>
    </row>
    <row r="403" spans="1:5" x14ac:dyDescent="0.25">
      <c r="A403" s="1">
        <v>356</v>
      </c>
      <c r="B403" s="1">
        <f t="shared" si="20"/>
        <v>4.5595701127765149E-214</v>
      </c>
      <c r="C403" s="1">
        <f t="shared" si="21"/>
        <v>1.5910334858473904E-58</v>
      </c>
      <c r="D403" s="1">
        <f t="shared" si="22"/>
        <v>6.9823322278676033E-16</v>
      </c>
      <c r="E403" s="1">
        <f t="shared" si="23"/>
        <v>6.9823322278676033E-16</v>
      </c>
    </row>
    <row r="404" spans="1:5" x14ac:dyDescent="0.25">
      <c r="A404" s="1">
        <v>357</v>
      </c>
      <c r="B404" s="1">
        <f t="shared" si="20"/>
        <v>1.2754725401488745E-215</v>
      </c>
      <c r="C404" s="1">
        <f t="shared" si="21"/>
        <v>4.0567520998206915E-59</v>
      </c>
      <c r="D404" s="1">
        <f t="shared" si="22"/>
        <v>3.9555858380769464E-16</v>
      </c>
      <c r="E404" s="1">
        <f t="shared" si="23"/>
        <v>3.9555858380769464E-16</v>
      </c>
    </row>
    <row r="405" spans="1:5" x14ac:dyDescent="0.25">
      <c r="A405" s="1">
        <v>358</v>
      </c>
      <c r="B405" s="1">
        <f t="shared" si="20"/>
        <v>3.5215424047262162E-217</v>
      </c>
      <c r="C405" s="1">
        <f t="shared" si="21"/>
        <v>1.0269531676909736E-59</v>
      </c>
      <c r="D405" s="1">
        <f t="shared" si="22"/>
        <v>2.2289680498445803E-16</v>
      </c>
      <c r="E405" s="1">
        <f t="shared" si="23"/>
        <v>2.2289680498445803E-16</v>
      </c>
    </row>
    <row r="406" spans="1:5" x14ac:dyDescent="0.25">
      <c r="A406" s="1">
        <v>359</v>
      </c>
      <c r="B406" s="1">
        <f t="shared" si="20"/>
        <v>9.5964217435785071E-219</v>
      </c>
      <c r="C406" s="1">
        <f t="shared" si="21"/>
        <v>2.5810464939422981E-60</v>
      </c>
      <c r="D406" s="1">
        <f t="shared" si="22"/>
        <v>1.249336991528999E-16</v>
      </c>
      <c r="E406" s="1">
        <f t="shared" si="23"/>
        <v>1.249336991528999E-16</v>
      </c>
    </row>
    <row r="407" spans="1:5" x14ac:dyDescent="0.25">
      <c r="A407" s="1">
        <v>360</v>
      </c>
      <c r="B407" s="1">
        <f t="shared" si="20"/>
        <v>2.5810732172787923E-220</v>
      </c>
      <c r="C407" s="1">
        <f t="shared" si="21"/>
        <v>6.4404177245584348E-61</v>
      </c>
      <c r="D407" s="1">
        <f t="shared" si="22"/>
        <v>6.9652720029532005E-17</v>
      </c>
      <c r="E407" s="1">
        <f t="shared" si="23"/>
        <v>6.9652720029532005E-17</v>
      </c>
    </row>
    <row r="408" spans="1:5" x14ac:dyDescent="0.25">
      <c r="A408" s="1">
        <v>361</v>
      </c>
      <c r="B408" s="1">
        <f t="shared" si="20"/>
        <v>6.8518195540617753E-222</v>
      </c>
      <c r="C408" s="1">
        <f t="shared" si="21"/>
        <v>1.5955310675917326E-61</v>
      </c>
      <c r="D408" s="1">
        <f t="shared" si="22"/>
        <v>3.8625960177899417E-17</v>
      </c>
      <c r="E408" s="1">
        <f t="shared" si="23"/>
        <v>3.8625960177899417E-17</v>
      </c>
    </row>
    <row r="409" spans="1:5" x14ac:dyDescent="0.25">
      <c r="A409" s="1">
        <v>362</v>
      </c>
      <c r="B409" s="1">
        <f t="shared" si="20"/>
        <v>1.7952548320247856E-223</v>
      </c>
      <c r="C409" s="1">
        <f t="shared" si="21"/>
        <v>3.9243660800919307E-62</v>
      </c>
      <c r="D409" s="1">
        <f t="shared" si="22"/>
        <v>2.1306063734770157E-17</v>
      </c>
      <c r="E409" s="1">
        <f t="shared" si="23"/>
        <v>2.1306063734770157E-17</v>
      </c>
    </row>
    <row r="410" spans="1:5" x14ac:dyDescent="0.25">
      <c r="A410" s="1">
        <v>363</v>
      </c>
      <c r="B410" s="1">
        <f t="shared" si="20"/>
        <v>4.6425959269961394E-225</v>
      </c>
      <c r="C410" s="1">
        <f t="shared" si="21"/>
        <v>9.5831167968848669E-63</v>
      </c>
      <c r="D410" s="1">
        <f t="shared" si="22"/>
        <v>1.1689875372534014E-17</v>
      </c>
      <c r="E410" s="1">
        <f t="shared" si="23"/>
        <v>1.1689875372534014E-17</v>
      </c>
    </row>
    <row r="411" spans="1:5" x14ac:dyDescent="0.25">
      <c r="A411" s="1">
        <v>364</v>
      </c>
      <c r="B411" s="1">
        <f t="shared" si="20"/>
        <v>1.1849779313805703E-226</v>
      </c>
      <c r="C411" s="1">
        <f t="shared" si="21"/>
        <v>2.3233630008490303E-63</v>
      </c>
      <c r="D411" s="1">
        <f t="shared" si="22"/>
        <v>6.3796854479669506E-18</v>
      </c>
      <c r="E411" s="1">
        <f t="shared" si="23"/>
        <v>6.3796854479669506E-18</v>
      </c>
    </row>
    <row r="412" spans="1:5" x14ac:dyDescent="0.25">
      <c r="A412" s="1">
        <v>365</v>
      </c>
      <c r="B412" s="1">
        <f t="shared" si="20"/>
        <v>2.9852054991535861E-228</v>
      </c>
      <c r="C412" s="1">
        <f t="shared" si="21"/>
        <v>5.5924276788023214E-64</v>
      </c>
      <c r="D412" s="1">
        <f t="shared" si="22"/>
        <v>3.4631505950281557E-18</v>
      </c>
      <c r="E412" s="1">
        <f t="shared" si="23"/>
        <v>3.4631505950281557E-18</v>
      </c>
    </row>
    <row r="413" spans="1:5" x14ac:dyDescent="0.25">
      <c r="A413" s="1">
        <v>366</v>
      </c>
      <c r="B413" s="1">
        <f t="shared" si="20"/>
        <v>7.4225442982740259E-230</v>
      </c>
      <c r="C413" s="1">
        <f t="shared" si="21"/>
        <v>1.3364622736385544E-64</v>
      </c>
      <c r="D413" s="1">
        <f t="shared" si="22"/>
        <v>1.869933723916721E-18</v>
      </c>
      <c r="E413" s="1">
        <f t="shared" si="23"/>
        <v>1.869933723916721E-18</v>
      </c>
    </row>
    <row r="414" spans="1:5" x14ac:dyDescent="0.25">
      <c r="A414" s="1">
        <v>367</v>
      </c>
      <c r="B414" s="1">
        <f t="shared" si="20"/>
        <v>1.8215703889338247E-231</v>
      </c>
      <c r="C414" s="1">
        <f t="shared" si="21"/>
        <v>3.1709255895403136E-65</v>
      </c>
      <c r="D414" s="1">
        <f t="shared" si="22"/>
        <v>1.0043007264240777E-18</v>
      </c>
      <c r="E414" s="1">
        <f t="shared" si="23"/>
        <v>1.0043007264240777E-18</v>
      </c>
    </row>
    <row r="415" spans="1:5" x14ac:dyDescent="0.25">
      <c r="A415" s="1">
        <v>368</v>
      </c>
      <c r="B415" s="1">
        <f t="shared" si="20"/>
        <v>4.4121849818419782E-233</v>
      </c>
      <c r="C415" s="1">
        <f t="shared" si="21"/>
        <v>7.4694464411682397E-66</v>
      </c>
      <c r="D415" s="1">
        <f t="shared" si="22"/>
        <v>5.3651771391271481E-19</v>
      </c>
      <c r="E415" s="1">
        <f t="shared" si="23"/>
        <v>5.3651771391271481E-19</v>
      </c>
    </row>
    <row r="416" spans="1:5" x14ac:dyDescent="0.25">
      <c r="A416" s="1">
        <v>369</v>
      </c>
      <c r="B416" s="1">
        <f t="shared" si="20"/>
        <v>1.0548144259791912E-234</v>
      </c>
      <c r="C416" s="1">
        <f t="shared" si="21"/>
        <v>1.7468829421310173E-66</v>
      </c>
      <c r="D416" s="1">
        <f t="shared" si="22"/>
        <v>2.8509334516474798E-19</v>
      </c>
      <c r="E416" s="1">
        <f t="shared" si="23"/>
        <v>2.8509334516474798E-19</v>
      </c>
    </row>
    <row r="417" spans="1:5" x14ac:dyDescent="0.25">
      <c r="A417" s="1">
        <v>370</v>
      </c>
      <c r="B417" s="1">
        <f t="shared" si="20"/>
        <v>2.48893184206056E-236</v>
      </c>
      <c r="C417" s="1">
        <f t="shared" si="21"/>
        <v>4.0561332179770394E-67</v>
      </c>
      <c r="D417" s="1">
        <f t="shared" si="22"/>
        <v>1.5068597070627647E-19</v>
      </c>
      <c r="E417" s="1">
        <f t="shared" si="23"/>
        <v>1.5068597070627647E-19</v>
      </c>
    </row>
    <row r="418" spans="1:5" x14ac:dyDescent="0.25">
      <c r="A418" s="1">
        <v>371</v>
      </c>
      <c r="B418" s="1">
        <f t="shared" si="20"/>
        <v>5.7964826666408562E-238</v>
      </c>
      <c r="C418" s="1">
        <f t="shared" si="21"/>
        <v>9.3504742029518272E-68</v>
      </c>
      <c r="D418" s="1">
        <f t="shared" si="22"/>
        <v>7.9221176236049522E-20</v>
      </c>
      <c r="E418" s="1">
        <f t="shared" si="23"/>
        <v>7.9221176236049522E-20</v>
      </c>
    </row>
    <row r="419" spans="1:5" x14ac:dyDescent="0.25">
      <c r="A419" s="1">
        <v>372</v>
      </c>
      <c r="B419" s="1">
        <f t="shared" si="20"/>
        <v>1.3323878804997688E-239</v>
      </c>
      <c r="C419" s="1">
        <f t="shared" si="21"/>
        <v>2.1400705083210027E-68</v>
      </c>
      <c r="D419" s="1">
        <f t="shared" si="22"/>
        <v>4.1427857938161335E-20</v>
      </c>
      <c r="E419" s="1">
        <f t="shared" si="23"/>
        <v>4.1427857938161335E-20</v>
      </c>
    </row>
    <row r="420" spans="1:5" x14ac:dyDescent="0.25">
      <c r="A420" s="1">
        <v>373</v>
      </c>
      <c r="B420" s="1">
        <f t="shared" si="20"/>
        <v>3.0228138282950827E-241</v>
      </c>
      <c r="C420" s="1">
        <f t="shared" si="21"/>
        <v>4.8629023382029487E-69</v>
      </c>
      <c r="D420" s="1">
        <f t="shared" si="22"/>
        <v>2.1548964029112562E-20</v>
      </c>
      <c r="E420" s="1">
        <f t="shared" si="23"/>
        <v>2.1548964029112562E-20</v>
      </c>
    </row>
    <row r="421" spans="1:5" x14ac:dyDescent="0.25">
      <c r="A421" s="1">
        <v>374</v>
      </c>
      <c r="B421" s="1">
        <f t="shared" si="20"/>
        <v>6.7687226853854039E-243</v>
      </c>
      <c r="C421" s="1">
        <f t="shared" si="21"/>
        <v>1.0970742787424864E-69</v>
      </c>
      <c r="D421" s="1">
        <f t="shared" si="22"/>
        <v>1.1149182897810692E-20</v>
      </c>
      <c r="E421" s="1">
        <f t="shared" si="23"/>
        <v>1.1149182897810692E-20</v>
      </c>
    </row>
    <row r="422" spans="1:5" x14ac:dyDescent="0.25">
      <c r="A422" s="1">
        <v>375</v>
      </c>
      <c r="B422" s="1">
        <f t="shared" si="20"/>
        <v>1.4959484807103428E-244</v>
      </c>
      <c r="C422" s="1">
        <f t="shared" si="21"/>
        <v>2.4572510994387146E-70</v>
      </c>
      <c r="D422" s="1">
        <f t="shared" si="22"/>
        <v>5.7377604095192471E-21</v>
      </c>
      <c r="E422" s="1">
        <f t="shared" si="23"/>
        <v>5.7377604095192471E-21</v>
      </c>
    </row>
    <row r="423" spans="1:5" x14ac:dyDescent="0.25">
      <c r="A423" s="1">
        <v>376</v>
      </c>
      <c r="B423" s="1">
        <f t="shared" si="20"/>
        <v>3.2631808760816583E-246</v>
      </c>
      <c r="C423" s="1">
        <f t="shared" si="21"/>
        <v>5.4643192250492381E-71</v>
      </c>
      <c r="D423" s="1">
        <f t="shared" si="22"/>
        <v>2.9371390339780509E-21</v>
      </c>
      <c r="E423" s="1">
        <f t="shared" si="23"/>
        <v>2.9371390339780509E-21</v>
      </c>
    </row>
    <row r="424" spans="1:5" x14ac:dyDescent="0.25">
      <c r="A424" s="1">
        <v>377</v>
      </c>
      <c r="B424" s="1">
        <f t="shared" si="20"/>
        <v>7.0255487506651913E-248</v>
      </c>
      <c r="C424" s="1">
        <f t="shared" si="21"/>
        <v>1.2064118861376528E-71</v>
      </c>
      <c r="D424" s="1">
        <f t="shared" si="22"/>
        <v>1.4955100170781249E-21</v>
      </c>
      <c r="E424" s="1">
        <f t="shared" si="23"/>
        <v>1.4955100170781249E-21</v>
      </c>
    </row>
    <row r="425" spans="1:5" x14ac:dyDescent="0.25">
      <c r="A425" s="1">
        <v>378</v>
      </c>
      <c r="B425" s="1">
        <f t="shared" si="20"/>
        <v>1.4929111127650546E-249</v>
      </c>
      <c r="C425" s="1">
        <f t="shared" si="21"/>
        <v>2.6444062305105676E-72</v>
      </c>
      <c r="D425" s="1">
        <f t="shared" si="22"/>
        <v>7.5742018284163687E-22</v>
      </c>
      <c r="E425" s="1">
        <f t="shared" si="23"/>
        <v>7.5742018284163687E-22</v>
      </c>
    </row>
    <row r="426" spans="1:5" x14ac:dyDescent="0.25">
      <c r="A426" s="1">
        <v>379</v>
      </c>
      <c r="B426" s="1">
        <f t="shared" si="20"/>
        <v>3.1311382558635926E-251</v>
      </c>
      <c r="C426" s="1">
        <f t="shared" si="21"/>
        <v>5.7548466549803174E-73</v>
      </c>
      <c r="D426" s="1">
        <f t="shared" si="22"/>
        <v>3.8156378354101282E-22</v>
      </c>
      <c r="E426" s="1">
        <f t="shared" si="23"/>
        <v>3.8156378354101282E-22</v>
      </c>
    </row>
    <row r="427" spans="1:5" x14ac:dyDescent="0.25">
      <c r="A427" s="1">
        <v>380</v>
      </c>
      <c r="B427" s="1">
        <f t="shared" si="20"/>
        <v>6.4816433795143493E-253</v>
      </c>
      <c r="C427" s="1">
        <f t="shared" si="21"/>
        <v>1.2434042848188538E-73</v>
      </c>
      <c r="D427" s="1">
        <f t="shared" si="22"/>
        <v>1.911965913665568E-22</v>
      </c>
      <c r="E427" s="1">
        <f t="shared" si="23"/>
        <v>1.911965913665568E-22</v>
      </c>
    </row>
    <row r="428" spans="1:5" x14ac:dyDescent="0.25">
      <c r="A428" s="1">
        <v>381</v>
      </c>
      <c r="B428" s="1">
        <f t="shared" si="20"/>
        <v>1.3242885222606222E-254</v>
      </c>
      <c r="C428" s="1">
        <f t="shared" si="21"/>
        <v>2.6672515931778594E-74</v>
      </c>
      <c r="D428" s="1">
        <f t="shared" si="22"/>
        <v>9.5296262978834613E-23</v>
      </c>
      <c r="E428" s="1">
        <f t="shared" si="23"/>
        <v>9.5296262978834613E-23</v>
      </c>
    </row>
    <row r="429" spans="1:5" x14ac:dyDescent="0.25">
      <c r="A429" s="1">
        <v>382</v>
      </c>
      <c r="B429" s="1">
        <f t="shared" si="20"/>
        <v>2.6705129728951303E-256</v>
      </c>
      <c r="C429" s="1">
        <f t="shared" si="21"/>
        <v>5.6805269754905049E-75</v>
      </c>
      <c r="D429" s="1">
        <f t="shared" si="22"/>
        <v>4.7244833287454448E-23</v>
      </c>
      <c r="E429" s="1">
        <f t="shared" si="23"/>
        <v>4.7244833287454448E-23</v>
      </c>
    </row>
    <row r="430" spans="1:5" x14ac:dyDescent="0.25">
      <c r="A430" s="1">
        <v>383</v>
      </c>
      <c r="B430" s="1">
        <f t="shared" si="20"/>
        <v>5.3152214520648895E-258</v>
      </c>
      <c r="C430" s="1">
        <f t="shared" si="21"/>
        <v>1.2011196988476303E-75</v>
      </c>
      <c r="D430" s="1">
        <f t="shared" si="22"/>
        <v>2.3297831359631051E-23</v>
      </c>
      <c r="E430" s="1">
        <f t="shared" si="23"/>
        <v>2.3297831359631051E-23</v>
      </c>
    </row>
    <row r="431" spans="1:5" x14ac:dyDescent="0.25">
      <c r="A431" s="1">
        <v>384</v>
      </c>
      <c r="B431" s="1">
        <f t="shared" si="20"/>
        <v>1.0441493671611859E-259</v>
      </c>
      <c r="C431" s="1">
        <f t="shared" si="21"/>
        <v>2.5214883879860001E-76</v>
      </c>
      <c r="D431" s="1">
        <f t="shared" si="22"/>
        <v>1.1427714969644342E-23</v>
      </c>
      <c r="E431" s="1">
        <f t="shared" si="23"/>
        <v>1.1427714969644342E-23</v>
      </c>
    </row>
    <row r="432" spans="1:5" x14ac:dyDescent="0.25">
      <c r="A432" s="1">
        <v>385</v>
      </c>
      <c r="B432" s="1">
        <f t="shared" si="20"/>
        <v>2.0245033051140521E-261</v>
      </c>
      <c r="C432" s="1">
        <f t="shared" si="21"/>
        <v>5.2553382652659157E-77</v>
      </c>
      <c r="D432" s="1">
        <f t="shared" si="22"/>
        <v>5.5755283428404941E-24</v>
      </c>
      <c r="E432" s="1">
        <f t="shared" si="23"/>
        <v>5.5755283428404941E-24</v>
      </c>
    </row>
    <row r="433" spans="1:5" x14ac:dyDescent="0.25">
      <c r="A433" s="1">
        <v>386</v>
      </c>
      <c r="B433" s="1">
        <f t="shared" ref="B433:B496" si="24">0.25 * _xlfn.NORM.DIST(A433, 83.3, 8.74, FALSE)</f>
        <v>3.8742616274726347E-263</v>
      </c>
      <c r="C433" s="1">
        <f t="shared" ref="C433:C496" si="25">0.5* _xlfn.NORM.DIST(A433, 166.7, 11.785, FALSE)</f>
        <v>1.0874702817134238E-77</v>
      </c>
      <c r="D433" s="1">
        <f t="shared" ref="D433:D496" si="26">0.25 * _xlfn.NORM.DIST(A433, 250, 13.69, FALSE)</f>
        <v>2.7057980653863037E-24</v>
      </c>
      <c r="E433" s="1">
        <f t="shared" ref="E433:E496" si="27">SUM(B433:D433)</f>
        <v>2.7057980653863037E-24</v>
      </c>
    </row>
    <row r="434" spans="1:5" x14ac:dyDescent="0.25">
      <c r="A434" s="1">
        <v>387</v>
      </c>
      <c r="B434" s="1">
        <f t="shared" si="24"/>
        <v>7.3176897832493863E-265</v>
      </c>
      <c r="C434" s="1">
        <f t="shared" si="25"/>
        <v>2.2341233083878574E-78</v>
      </c>
      <c r="D434" s="1">
        <f t="shared" si="26"/>
        <v>1.3061331793246742E-24</v>
      </c>
      <c r="E434" s="1">
        <f t="shared" si="27"/>
        <v>1.3061331793246742E-24</v>
      </c>
    </row>
    <row r="435" spans="1:5" x14ac:dyDescent="0.25">
      <c r="A435" s="1">
        <v>388</v>
      </c>
      <c r="B435" s="1">
        <f t="shared" si="24"/>
        <v>1.3641861581483824E-266</v>
      </c>
      <c r="C435" s="1">
        <f t="shared" si="25"/>
        <v>4.5569042305881222E-79</v>
      </c>
      <c r="D435" s="1">
        <f t="shared" si="26"/>
        <v>6.2713677398071214E-25</v>
      </c>
      <c r="E435" s="1">
        <f t="shared" si="27"/>
        <v>6.2713677398071214E-25</v>
      </c>
    </row>
    <row r="436" spans="1:5" x14ac:dyDescent="0.25">
      <c r="A436" s="1">
        <v>389</v>
      </c>
      <c r="B436" s="1">
        <f t="shared" si="24"/>
        <v>2.5100818134703527E-268</v>
      </c>
      <c r="C436" s="1">
        <f t="shared" si="25"/>
        <v>9.2279595682796218E-80</v>
      </c>
      <c r="D436" s="1">
        <f t="shared" si="26"/>
        <v>2.9951584285002631E-25</v>
      </c>
      <c r="E436" s="1">
        <f t="shared" si="27"/>
        <v>2.9951584285002631E-25</v>
      </c>
    </row>
    <row r="437" spans="1:5" x14ac:dyDescent="0.25">
      <c r="A437" s="1">
        <v>390</v>
      </c>
      <c r="B437" s="1">
        <f t="shared" si="24"/>
        <v>4.5584449041813087E-270</v>
      </c>
      <c r="C437" s="1">
        <f t="shared" si="25"/>
        <v>1.8553014516888637E-80</v>
      </c>
      <c r="D437" s="1">
        <f t="shared" si="26"/>
        <v>1.422853074992496E-25</v>
      </c>
      <c r="E437" s="1">
        <f t="shared" si="27"/>
        <v>1.422853074992496E-25</v>
      </c>
    </row>
    <row r="438" spans="1:5" x14ac:dyDescent="0.25">
      <c r="A438" s="1">
        <v>391</v>
      </c>
      <c r="B438" s="1">
        <f t="shared" si="24"/>
        <v>8.1707164153158115E-272</v>
      </c>
      <c r="C438" s="1">
        <f t="shared" si="25"/>
        <v>3.7033631898696794E-81</v>
      </c>
      <c r="D438" s="1">
        <f t="shared" si="26"/>
        <v>6.7233085119513247E-26</v>
      </c>
      <c r="E438" s="1">
        <f t="shared" si="27"/>
        <v>6.7233085119513247E-26</v>
      </c>
    </row>
    <row r="439" spans="1:5" x14ac:dyDescent="0.25">
      <c r="A439" s="1">
        <v>392</v>
      </c>
      <c r="B439" s="1">
        <f t="shared" si="24"/>
        <v>1.4455002111895589E-273</v>
      </c>
      <c r="C439" s="1">
        <f t="shared" si="25"/>
        <v>7.3392409570997216E-82</v>
      </c>
      <c r="D439" s="1">
        <f t="shared" si="26"/>
        <v>3.160012127627068E-26</v>
      </c>
      <c r="E439" s="1">
        <f t="shared" si="27"/>
        <v>3.160012127627068E-26</v>
      </c>
    </row>
    <row r="440" spans="1:5" x14ac:dyDescent="0.25">
      <c r="A440" s="1">
        <v>393</v>
      </c>
      <c r="B440" s="1">
        <f t="shared" si="24"/>
        <v>2.5240082836092902E-275</v>
      </c>
      <c r="C440" s="1">
        <f t="shared" si="25"/>
        <v>1.4440392806471826E-82</v>
      </c>
      <c r="D440" s="1">
        <f t="shared" si="26"/>
        <v>1.4773288684906694E-26</v>
      </c>
      <c r="E440" s="1">
        <f t="shared" si="27"/>
        <v>1.4773288684906694E-26</v>
      </c>
    </row>
    <row r="441" spans="1:5" x14ac:dyDescent="0.25">
      <c r="A441" s="1">
        <v>394</v>
      </c>
      <c r="B441" s="1">
        <f t="shared" si="24"/>
        <v>4.3498871170998136E-277</v>
      </c>
      <c r="C441" s="1">
        <f t="shared" si="25"/>
        <v>2.8208493145703096E-83</v>
      </c>
      <c r="D441" s="1">
        <f t="shared" si="26"/>
        <v>6.8698672557322201E-27</v>
      </c>
      <c r="E441" s="1">
        <f t="shared" si="27"/>
        <v>6.8698672557322201E-27</v>
      </c>
    </row>
    <row r="442" spans="1:5" x14ac:dyDescent="0.25">
      <c r="A442" s="1">
        <v>395</v>
      </c>
      <c r="B442" s="1">
        <f t="shared" si="24"/>
        <v>7.3991152537559524E-279</v>
      </c>
      <c r="C442" s="1">
        <f t="shared" si="25"/>
        <v>5.4708371527775502E-84</v>
      </c>
      <c r="D442" s="1">
        <f t="shared" si="26"/>
        <v>3.1776219896436266E-27</v>
      </c>
      <c r="E442" s="1">
        <f t="shared" si="27"/>
        <v>3.1776219896436266E-27</v>
      </c>
    </row>
    <row r="443" spans="1:5" x14ac:dyDescent="0.25">
      <c r="A443" s="1">
        <v>396</v>
      </c>
      <c r="B443" s="1">
        <f t="shared" si="24"/>
        <v>1.2422133496660402E-280</v>
      </c>
      <c r="C443" s="1">
        <f t="shared" si="25"/>
        <v>1.0534179333072484E-84</v>
      </c>
      <c r="D443" s="1">
        <f t="shared" si="26"/>
        <v>1.4619712926598854E-27</v>
      </c>
      <c r="E443" s="1">
        <f t="shared" si="27"/>
        <v>1.4619712926598854E-27</v>
      </c>
    </row>
    <row r="444" spans="1:5" x14ac:dyDescent="0.25">
      <c r="A444" s="1">
        <v>397</v>
      </c>
      <c r="B444" s="1">
        <f t="shared" si="24"/>
        <v>2.0583877402716769E-282</v>
      </c>
      <c r="C444" s="1">
        <f t="shared" si="25"/>
        <v>2.0138199881951536E-85</v>
      </c>
      <c r="D444" s="1">
        <f t="shared" si="26"/>
        <v>6.6904939667322443E-28</v>
      </c>
      <c r="E444" s="1">
        <f t="shared" si="27"/>
        <v>6.6904939667322443E-28</v>
      </c>
    </row>
    <row r="445" spans="1:5" x14ac:dyDescent="0.25">
      <c r="A445" s="1">
        <v>398</v>
      </c>
      <c r="B445" s="1">
        <f t="shared" si="24"/>
        <v>3.3664547046508086E-284</v>
      </c>
      <c r="C445" s="1">
        <f t="shared" si="25"/>
        <v>3.8222017460355177E-86</v>
      </c>
      <c r="D445" s="1">
        <f t="shared" si="26"/>
        <v>3.045511528280913E-28</v>
      </c>
      <c r="E445" s="1">
        <f t="shared" si="27"/>
        <v>3.045511528280913E-28</v>
      </c>
    </row>
    <row r="446" spans="1:5" x14ac:dyDescent="0.25">
      <c r="A446" s="1">
        <v>399</v>
      </c>
      <c r="B446" s="1">
        <f t="shared" si="24"/>
        <v>5.4341667251200058E-286</v>
      </c>
      <c r="C446" s="1">
        <f t="shared" si="25"/>
        <v>7.2024389492588919E-87</v>
      </c>
      <c r="D446" s="1">
        <f t="shared" si="26"/>
        <v>1.3789389469193864E-28</v>
      </c>
      <c r="E446" s="1">
        <f t="shared" si="27"/>
        <v>1.3789389469193864E-28</v>
      </c>
    </row>
    <row r="447" spans="1:5" x14ac:dyDescent="0.25">
      <c r="A447" s="1">
        <v>400</v>
      </c>
      <c r="B447" s="1">
        <f t="shared" si="24"/>
        <v>8.6578037389681139E-288</v>
      </c>
      <c r="C447" s="1">
        <f t="shared" si="25"/>
        <v>1.3474683859291359E-87</v>
      </c>
      <c r="D447" s="1">
        <f t="shared" si="26"/>
        <v>6.2102996291331599E-29</v>
      </c>
      <c r="E447" s="1">
        <f t="shared" si="27"/>
        <v>6.2102996291331599E-29</v>
      </c>
    </row>
    <row r="448" spans="1:5" x14ac:dyDescent="0.25">
      <c r="A448" s="1">
        <v>401</v>
      </c>
      <c r="B448" s="1">
        <f t="shared" si="24"/>
        <v>1.3614356198749088E-289</v>
      </c>
      <c r="C448" s="1">
        <f t="shared" si="25"/>
        <v>2.5028256854587959E-88</v>
      </c>
      <c r="D448" s="1">
        <f t="shared" si="26"/>
        <v>2.7820363239947279E-29</v>
      </c>
      <c r="E448" s="1">
        <f t="shared" si="27"/>
        <v>2.7820363239947279E-29</v>
      </c>
    </row>
    <row r="449" spans="1:5" x14ac:dyDescent="0.25">
      <c r="A449" s="1">
        <v>402</v>
      </c>
      <c r="B449" s="1">
        <f t="shared" si="24"/>
        <v>2.1130076817739484E-291</v>
      </c>
      <c r="C449" s="1">
        <f t="shared" si="25"/>
        <v>4.6154669105006001E-89</v>
      </c>
      <c r="D449" s="1">
        <f t="shared" si="26"/>
        <v>1.2396405211462608E-29</v>
      </c>
      <c r="E449" s="1">
        <f t="shared" si="27"/>
        <v>1.2396405211462608E-29</v>
      </c>
    </row>
    <row r="450" spans="1:5" x14ac:dyDescent="0.25">
      <c r="A450" s="1">
        <v>403</v>
      </c>
      <c r="B450" s="1">
        <f t="shared" si="24"/>
        <v>3.2368281116443095E-293</v>
      </c>
      <c r="C450" s="1">
        <f t="shared" si="25"/>
        <v>8.45033059728404E-90</v>
      </c>
      <c r="D450" s="1">
        <f t="shared" si="26"/>
        <v>5.4942884689117436E-30</v>
      </c>
      <c r="E450" s="1">
        <f t="shared" si="27"/>
        <v>5.4942884689117436E-30</v>
      </c>
    </row>
    <row r="451" spans="1:5" x14ac:dyDescent="0.25">
      <c r="A451" s="1">
        <v>404</v>
      </c>
      <c r="B451" s="1">
        <f t="shared" si="24"/>
        <v>4.8938741069229012E-295</v>
      </c>
      <c r="C451" s="1">
        <f t="shared" si="25"/>
        <v>1.5360479670448367E-90</v>
      </c>
      <c r="D451" s="1">
        <f t="shared" si="26"/>
        <v>2.4221993161141661E-30</v>
      </c>
      <c r="E451" s="1">
        <f t="shared" si="27"/>
        <v>2.4221993161141661E-30</v>
      </c>
    </row>
    <row r="452" spans="1:5" x14ac:dyDescent="0.25">
      <c r="A452" s="1">
        <v>405</v>
      </c>
      <c r="B452" s="1">
        <f t="shared" si="24"/>
        <v>7.3029872667606094E-297</v>
      </c>
      <c r="C452" s="1">
        <f t="shared" si="25"/>
        <v>2.7720998896844676E-91</v>
      </c>
      <c r="D452" s="1">
        <f t="shared" si="26"/>
        <v>1.0621626421950317E-30</v>
      </c>
      <c r="E452" s="1">
        <f t="shared" si="27"/>
        <v>1.0621626421950317E-30</v>
      </c>
    </row>
    <row r="453" spans="1:5" x14ac:dyDescent="0.25">
      <c r="A453" s="1">
        <v>406</v>
      </c>
      <c r="B453" s="1">
        <f t="shared" si="24"/>
        <v>1.075629954844902E-298</v>
      </c>
      <c r="C453" s="1">
        <f t="shared" si="25"/>
        <v>4.9669065955967347E-92</v>
      </c>
      <c r="D453" s="1">
        <f t="shared" si="26"/>
        <v>4.6329209906287616E-31</v>
      </c>
      <c r="E453" s="1">
        <f t="shared" si="27"/>
        <v>4.6329209906287616E-31</v>
      </c>
    </row>
    <row r="454" spans="1:5" x14ac:dyDescent="0.25">
      <c r="A454" s="1">
        <v>407</v>
      </c>
      <c r="B454" s="1">
        <f t="shared" si="24"/>
        <v>1.563651002204827E-300</v>
      </c>
      <c r="C454" s="1">
        <f t="shared" si="25"/>
        <v>8.8356017027292417E-93</v>
      </c>
      <c r="D454" s="1">
        <f t="shared" si="26"/>
        <v>2.0100251477377361E-31</v>
      </c>
      <c r="E454" s="1">
        <f t="shared" si="27"/>
        <v>2.0100251477377361E-31</v>
      </c>
    </row>
    <row r="455" spans="1:5" x14ac:dyDescent="0.25">
      <c r="A455" s="1">
        <v>408</v>
      </c>
      <c r="B455" s="1">
        <f t="shared" si="24"/>
        <v>2.243527314428495E-302</v>
      </c>
      <c r="C455" s="1">
        <f t="shared" si="25"/>
        <v>1.5604838816936896E-93</v>
      </c>
      <c r="D455" s="1">
        <f t="shared" si="26"/>
        <v>8.6742276141278246E-32</v>
      </c>
      <c r="E455" s="1">
        <f t="shared" si="27"/>
        <v>8.6742276141278246E-32</v>
      </c>
    </row>
    <row r="456" spans="1:5" x14ac:dyDescent="0.25">
      <c r="A456" s="1">
        <v>409</v>
      </c>
      <c r="B456" s="1">
        <f t="shared" si="24"/>
        <v>3.1771483199339871E-304</v>
      </c>
      <c r="C456" s="1">
        <f t="shared" si="25"/>
        <v>2.7362480425535825E-94</v>
      </c>
      <c r="D456" s="1">
        <f t="shared" si="26"/>
        <v>3.723427164245239E-32</v>
      </c>
      <c r="E456" s="1">
        <f t="shared" si="27"/>
        <v>3.723427164245239E-32</v>
      </c>
    </row>
    <row r="457" spans="1:5" x14ac:dyDescent="0.25">
      <c r="A457" s="1">
        <v>410</v>
      </c>
      <c r="B457" s="1">
        <f t="shared" si="24"/>
        <v>4.4407693044649355E-306</v>
      </c>
      <c r="C457" s="1">
        <f t="shared" si="25"/>
        <v>4.7634834466589072E-95</v>
      </c>
      <c r="D457" s="1">
        <f t="shared" si="26"/>
        <v>1.5897822272069031E-32</v>
      </c>
      <c r="E457" s="1">
        <f t="shared" si="27"/>
        <v>1.5897822272069031E-32</v>
      </c>
    </row>
    <row r="458" spans="1:5" x14ac:dyDescent="0.25">
      <c r="A458" s="1">
        <v>411</v>
      </c>
      <c r="B458" s="1">
        <f t="shared" si="24"/>
        <v>6.1262332721040623E-308</v>
      </c>
      <c r="C458" s="1">
        <f t="shared" si="25"/>
        <v>8.2331660888526616E-96</v>
      </c>
      <c r="D458" s="1">
        <f t="shared" si="26"/>
        <v>6.7517311109654149E-33</v>
      </c>
      <c r="E458" s="1">
        <f t="shared" si="27"/>
        <v>6.7517311109654149E-33</v>
      </c>
    </row>
    <row r="459" spans="1:5" x14ac:dyDescent="0.25">
      <c r="A459" s="1">
        <v>412</v>
      </c>
      <c r="B459" s="1">
        <f t="shared" si="24"/>
        <v>0</v>
      </c>
      <c r="C459" s="1">
        <f t="shared" si="25"/>
        <v>1.4128046399930895E-96</v>
      </c>
      <c r="D459" s="1">
        <f t="shared" si="26"/>
        <v>2.8521697176101806E-33</v>
      </c>
      <c r="E459" s="1">
        <f t="shared" si="27"/>
        <v>2.8521697176101806E-33</v>
      </c>
    </row>
    <row r="460" spans="1:5" x14ac:dyDescent="0.25">
      <c r="A460" s="1">
        <v>413</v>
      </c>
      <c r="B460" s="1">
        <f t="shared" si="24"/>
        <v>0</v>
      </c>
      <c r="C460" s="1">
        <f t="shared" si="25"/>
        <v>2.406968287167239E-97</v>
      </c>
      <c r="D460" s="1">
        <f t="shared" si="26"/>
        <v>1.1984455766907079E-33</v>
      </c>
      <c r="E460" s="1">
        <f t="shared" si="27"/>
        <v>1.1984455766907079E-33</v>
      </c>
    </row>
    <row r="461" spans="1:5" x14ac:dyDescent="0.25">
      <c r="A461" s="1">
        <v>414</v>
      </c>
      <c r="B461" s="1">
        <f t="shared" si="24"/>
        <v>0</v>
      </c>
      <c r="C461" s="1">
        <f t="shared" si="25"/>
        <v>4.0712862998376116E-98</v>
      </c>
      <c r="D461" s="1">
        <f t="shared" si="26"/>
        <v>5.0089188415898797E-34</v>
      </c>
      <c r="E461" s="1">
        <f t="shared" si="27"/>
        <v>5.0089188415898797E-34</v>
      </c>
    </row>
    <row r="462" spans="1:5" x14ac:dyDescent="0.25">
      <c r="A462" s="1">
        <v>415</v>
      </c>
      <c r="B462" s="1">
        <f t="shared" si="24"/>
        <v>0</v>
      </c>
      <c r="C462" s="1">
        <f t="shared" si="25"/>
        <v>6.8370056536985244E-99</v>
      </c>
      <c r="D462" s="1">
        <f t="shared" si="26"/>
        <v>2.0823436312965268E-34</v>
      </c>
      <c r="E462" s="1">
        <f t="shared" si="27"/>
        <v>2.0823436312965268E-34</v>
      </c>
    </row>
    <row r="463" spans="1:5" x14ac:dyDescent="0.25">
      <c r="A463" s="1">
        <v>416</v>
      </c>
      <c r="B463" s="1">
        <f t="shared" si="24"/>
        <v>0</v>
      </c>
      <c r="C463" s="1">
        <f t="shared" si="25"/>
        <v>1.1399170617561059E-99</v>
      </c>
      <c r="D463" s="1">
        <f t="shared" si="26"/>
        <v>8.6108005295042051E-35</v>
      </c>
      <c r="E463" s="1">
        <f t="shared" si="27"/>
        <v>8.6108005295042051E-35</v>
      </c>
    </row>
    <row r="464" spans="1:5" x14ac:dyDescent="0.25">
      <c r="A464" s="1">
        <v>417</v>
      </c>
      <c r="B464" s="1">
        <f t="shared" si="24"/>
        <v>0</v>
      </c>
      <c r="C464" s="1">
        <f t="shared" si="25"/>
        <v>1.8869204391140264E-100</v>
      </c>
      <c r="D464" s="1">
        <f t="shared" si="26"/>
        <v>3.5417457756623727E-35</v>
      </c>
      <c r="E464" s="1">
        <f t="shared" si="27"/>
        <v>3.5417457756623727E-35</v>
      </c>
    </row>
    <row r="465" spans="1:5" x14ac:dyDescent="0.25">
      <c r="A465" s="1">
        <v>418</v>
      </c>
      <c r="B465" s="1">
        <f t="shared" si="24"/>
        <v>0</v>
      </c>
      <c r="C465" s="1">
        <f t="shared" si="25"/>
        <v>3.1010369660025795E-101</v>
      </c>
      <c r="D465" s="1">
        <f t="shared" si="26"/>
        <v>1.4490186198286898E-35</v>
      </c>
      <c r="E465" s="1">
        <f t="shared" si="27"/>
        <v>1.4490186198286898E-35</v>
      </c>
    </row>
    <row r="466" spans="1:5" x14ac:dyDescent="0.25">
      <c r="A466" s="1">
        <v>419</v>
      </c>
      <c r="B466" s="1">
        <f t="shared" si="24"/>
        <v>0</v>
      </c>
      <c r="C466" s="1">
        <f t="shared" si="25"/>
        <v>5.0597996136669208E-102</v>
      </c>
      <c r="D466" s="1">
        <f t="shared" si="26"/>
        <v>5.896757575145024E-36</v>
      </c>
      <c r="E466" s="1">
        <f t="shared" si="27"/>
        <v>5.896757575145024E-36</v>
      </c>
    </row>
    <row r="467" spans="1:5" x14ac:dyDescent="0.25">
      <c r="A467" s="1">
        <v>420</v>
      </c>
      <c r="B467" s="1">
        <f t="shared" si="24"/>
        <v>0</v>
      </c>
      <c r="C467" s="1">
        <f t="shared" si="25"/>
        <v>8.1965805576009112E-103</v>
      </c>
      <c r="D467" s="1">
        <f t="shared" si="26"/>
        <v>2.3869059492847783E-36</v>
      </c>
      <c r="E467" s="1">
        <f t="shared" si="27"/>
        <v>2.3869059492847783E-36</v>
      </c>
    </row>
    <row r="468" spans="1:5" x14ac:dyDescent="0.25">
      <c r="A468" s="1">
        <v>421</v>
      </c>
      <c r="B468" s="1">
        <f t="shared" si="24"/>
        <v>0</v>
      </c>
      <c r="C468" s="1">
        <f t="shared" si="25"/>
        <v>1.3182722960978679E-103</v>
      </c>
      <c r="D468" s="1">
        <f t="shared" si="26"/>
        <v>9.6103690649912278E-37</v>
      </c>
      <c r="E468" s="1">
        <f t="shared" si="27"/>
        <v>9.6103690649912278E-37</v>
      </c>
    </row>
    <row r="469" spans="1:5" x14ac:dyDescent="0.25">
      <c r="A469" s="1">
        <v>422</v>
      </c>
      <c r="B469" s="1">
        <f t="shared" si="24"/>
        <v>0</v>
      </c>
      <c r="C469" s="1">
        <f t="shared" si="25"/>
        <v>2.1049925294012692E-104</v>
      </c>
      <c r="D469" s="1">
        <f t="shared" si="26"/>
        <v>3.8488195610892741E-37</v>
      </c>
      <c r="E469" s="1">
        <f t="shared" si="27"/>
        <v>3.8488195610892741E-37</v>
      </c>
    </row>
    <row r="470" spans="1:5" x14ac:dyDescent="0.25">
      <c r="A470" s="1">
        <v>423</v>
      </c>
      <c r="B470" s="1">
        <f t="shared" si="24"/>
        <v>0</v>
      </c>
      <c r="C470" s="1">
        <f t="shared" si="25"/>
        <v>3.3370983953666704E-105</v>
      </c>
      <c r="D470" s="1">
        <f t="shared" si="26"/>
        <v>1.5331962982898631E-37</v>
      </c>
      <c r="E470" s="1">
        <f t="shared" si="27"/>
        <v>1.5331962982898631E-37</v>
      </c>
    </row>
    <row r="471" spans="1:5" x14ac:dyDescent="0.25">
      <c r="A471" s="1">
        <v>424</v>
      </c>
      <c r="B471" s="1">
        <f t="shared" si="24"/>
        <v>0</v>
      </c>
      <c r="C471" s="1">
        <f t="shared" si="25"/>
        <v>5.2524325637629533E-106</v>
      </c>
      <c r="D471" s="1">
        <f t="shared" si="26"/>
        <v>6.075061779451803E-38</v>
      </c>
      <c r="E471" s="1">
        <f t="shared" si="27"/>
        <v>6.075061779451803E-38</v>
      </c>
    </row>
    <row r="472" spans="1:5" x14ac:dyDescent="0.25">
      <c r="A472" s="1">
        <v>425</v>
      </c>
      <c r="B472" s="1">
        <f t="shared" si="24"/>
        <v>0</v>
      </c>
      <c r="C472" s="1">
        <f t="shared" si="25"/>
        <v>8.207766219008354E-107</v>
      </c>
      <c r="D472" s="1">
        <f t="shared" si="26"/>
        <v>2.3943429796481106E-38</v>
      </c>
      <c r="E472" s="1">
        <f t="shared" si="27"/>
        <v>2.3943429796481106E-38</v>
      </c>
    </row>
    <row r="473" spans="1:5" x14ac:dyDescent="0.25">
      <c r="A473" s="1">
        <v>426</v>
      </c>
      <c r="B473" s="1">
        <f t="shared" si="24"/>
        <v>0</v>
      </c>
      <c r="C473" s="1">
        <f t="shared" si="25"/>
        <v>1.2733930948825676E-107</v>
      </c>
      <c r="D473" s="1">
        <f t="shared" si="26"/>
        <v>9.3865230264518997E-39</v>
      </c>
      <c r="E473" s="1">
        <f t="shared" si="27"/>
        <v>9.3865230264518997E-39</v>
      </c>
    </row>
    <row r="474" spans="1:5" x14ac:dyDescent="0.25">
      <c r="A474" s="1">
        <v>427</v>
      </c>
      <c r="B474" s="1">
        <f t="shared" si="24"/>
        <v>0</v>
      </c>
      <c r="C474" s="1">
        <f t="shared" si="25"/>
        <v>1.9614309452360968E-108</v>
      </c>
      <c r="D474" s="1">
        <f t="shared" si="26"/>
        <v>3.6602088284479333E-39</v>
      </c>
      <c r="E474" s="1">
        <f t="shared" si="27"/>
        <v>3.6602088284479333E-39</v>
      </c>
    </row>
    <row r="475" spans="1:5" x14ac:dyDescent="0.25">
      <c r="A475" s="1">
        <v>428</v>
      </c>
      <c r="B475" s="1">
        <f t="shared" si="24"/>
        <v>0</v>
      </c>
      <c r="C475" s="1">
        <f t="shared" si="25"/>
        <v>2.9995532407681659E-109</v>
      </c>
      <c r="D475" s="1">
        <f t="shared" si="26"/>
        <v>1.4196775163525085E-39</v>
      </c>
      <c r="E475" s="1">
        <f t="shared" si="27"/>
        <v>1.4196775163525085E-39</v>
      </c>
    </row>
    <row r="476" spans="1:5" x14ac:dyDescent="0.25">
      <c r="A476" s="1">
        <v>429</v>
      </c>
      <c r="B476" s="1">
        <f t="shared" si="24"/>
        <v>0</v>
      </c>
      <c r="C476" s="1">
        <f t="shared" si="25"/>
        <v>4.5542109869745324E-110</v>
      </c>
      <c r="D476" s="1">
        <f t="shared" si="26"/>
        <v>5.4771706270171634E-40</v>
      </c>
      <c r="E476" s="1">
        <f t="shared" si="27"/>
        <v>5.4771706270171634E-40</v>
      </c>
    </row>
    <row r="477" spans="1:5" x14ac:dyDescent="0.25">
      <c r="A477" s="1">
        <v>430</v>
      </c>
      <c r="B477" s="1">
        <f t="shared" si="24"/>
        <v>0</v>
      </c>
      <c r="C477" s="1">
        <f t="shared" si="25"/>
        <v>6.8650347236114123E-111</v>
      </c>
      <c r="D477" s="1">
        <f t="shared" si="26"/>
        <v>2.1018686004678595E-40</v>
      </c>
      <c r="E477" s="1">
        <f t="shared" si="27"/>
        <v>2.1018686004678595E-40</v>
      </c>
    </row>
    <row r="478" spans="1:5" x14ac:dyDescent="0.25">
      <c r="A478" s="1">
        <v>431</v>
      </c>
      <c r="B478" s="1">
        <f t="shared" si="24"/>
        <v>0</v>
      </c>
      <c r="C478" s="1">
        <f t="shared" si="25"/>
        <v>1.0274136930697873E-111</v>
      </c>
      <c r="D478" s="1">
        <f t="shared" si="26"/>
        <v>8.0230145561725584E-41</v>
      </c>
      <c r="E478" s="1">
        <f t="shared" si="27"/>
        <v>8.0230145561725584E-41</v>
      </c>
    </row>
    <row r="479" spans="1:5" x14ac:dyDescent="0.25">
      <c r="A479" s="1">
        <v>432</v>
      </c>
      <c r="B479" s="1">
        <f t="shared" si="24"/>
        <v>0</v>
      </c>
      <c r="C479" s="1">
        <f t="shared" si="25"/>
        <v>1.52658496449523E-112</v>
      </c>
      <c r="D479" s="1">
        <f t="shared" si="26"/>
        <v>3.0461572841581738E-41</v>
      </c>
      <c r="E479" s="1">
        <f t="shared" si="27"/>
        <v>3.0461572841581738E-41</v>
      </c>
    </row>
    <row r="480" spans="1:5" x14ac:dyDescent="0.25">
      <c r="A480" s="1">
        <v>433</v>
      </c>
      <c r="B480" s="1">
        <f t="shared" si="24"/>
        <v>0</v>
      </c>
      <c r="C480" s="1">
        <f t="shared" si="25"/>
        <v>2.2520064574290722E-113</v>
      </c>
      <c r="D480" s="1">
        <f t="shared" si="26"/>
        <v>1.1504024376099296E-41</v>
      </c>
      <c r="E480" s="1">
        <f t="shared" si="27"/>
        <v>1.1504024376099296E-41</v>
      </c>
    </row>
    <row r="481" spans="1:5" x14ac:dyDescent="0.25">
      <c r="A481" s="1">
        <v>434</v>
      </c>
      <c r="B481" s="1">
        <f t="shared" si="24"/>
        <v>0</v>
      </c>
      <c r="C481" s="1">
        <f t="shared" si="25"/>
        <v>3.2983087132838079E-114</v>
      </c>
      <c r="D481" s="1">
        <f t="shared" si="26"/>
        <v>4.3214549367965464E-42</v>
      </c>
      <c r="E481" s="1">
        <f t="shared" si="27"/>
        <v>4.3214549367965464E-42</v>
      </c>
    </row>
    <row r="482" spans="1:5" x14ac:dyDescent="0.25">
      <c r="A482" s="1">
        <v>435</v>
      </c>
      <c r="B482" s="1">
        <f t="shared" si="24"/>
        <v>0</v>
      </c>
      <c r="C482" s="1">
        <f t="shared" si="25"/>
        <v>4.7960752928901699E-115</v>
      </c>
      <c r="D482" s="1">
        <f t="shared" si="26"/>
        <v>1.6147039580598279E-42</v>
      </c>
      <c r="E482" s="1">
        <f t="shared" si="27"/>
        <v>1.6147039580598279E-42</v>
      </c>
    </row>
    <row r="483" spans="1:5" x14ac:dyDescent="0.25">
      <c r="A483" s="1">
        <v>436</v>
      </c>
      <c r="B483" s="1">
        <f t="shared" si="24"/>
        <v>0</v>
      </c>
      <c r="C483" s="1">
        <f t="shared" si="25"/>
        <v>6.9239464839653077E-116</v>
      </c>
      <c r="D483" s="1">
        <f t="shared" si="26"/>
        <v>6.0012063056476348E-43</v>
      </c>
      <c r="E483" s="1">
        <f t="shared" si="27"/>
        <v>6.0012063056476348E-43</v>
      </c>
    </row>
    <row r="484" spans="1:5" x14ac:dyDescent="0.25">
      <c r="A484" s="1">
        <v>437</v>
      </c>
      <c r="B484" s="1">
        <f t="shared" si="24"/>
        <v>0</v>
      </c>
      <c r="C484" s="1">
        <f t="shared" si="25"/>
        <v>9.9241754218442773E-117</v>
      </c>
      <c r="D484" s="1">
        <f t="shared" si="26"/>
        <v>2.2185382961492282E-43</v>
      </c>
      <c r="E484" s="1">
        <f t="shared" si="27"/>
        <v>2.2185382961492282E-43</v>
      </c>
    </row>
    <row r="485" spans="1:5" x14ac:dyDescent="0.25">
      <c r="A485" s="1">
        <v>438</v>
      </c>
      <c r="B485" s="1">
        <f t="shared" si="24"/>
        <v>0</v>
      </c>
      <c r="C485" s="1">
        <f t="shared" si="25"/>
        <v>1.4122389391063945E-117</v>
      </c>
      <c r="D485" s="1">
        <f t="shared" si="26"/>
        <v>8.1578934489362788E-44</v>
      </c>
      <c r="E485" s="1">
        <f t="shared" si="27"/>
        <v>8.1578934489362788E-44</v>
      </c>
    </row>
    <row r="486" spans="1:5" x14ac:dyDescent="0.25">
      <c r="A486" s="1">
        <v>439</v>
      </c>
      <c r="B486" s="1">
        <f t="shared" si="24"/>
        <v>0</v>
      </c>
      <c r="C486" s="1">
        <f t="shared" si="25"/>
        <v>1.9952391201161712E-118</v>
      </c>
      <c r="D486" s="1">
        <f t="shared" si="26"/>
        <v>2.9838147281941791E-44</v>
      </c>
      <c r="E486" s="1">
        <f t="shared" si="27"/>
        <v>2.9838147281941791E-44</v>
      </c>
    </row>
    <row r="487" spans="1:5" x14ac:dyDescent="0.25">
      <c r="A487" s="1">
        <v>440</v>
      </c>
      <c r="B487" s="1">
        <f t="shared" si="24"/>
        <v>0</v>
      </c>
      <c r="C487" s="1">
        <f t="shared" si="25"/>
        <v>2.7986896417405373E-119</v>
      </c>
      <c r="D487" s="1">
        <f t="shared" si="26"/>
        <v>1.0855464309836431E-44</v>
      </c>
      <c r="E487" s="1">
        <f t="shared" si="27"/>
        <v>1.0855464309836431E-44</v>
      </c>
    </row>
    <row r="488" spans="1:5" x14ac:dyDescent="0.25">
      <c r="A488" s="1">
        <v>441</v>
      </c>
      <c r="B488" s="1">
        <f t="shared" si="24"/>
        <v>0</v>
      </c>
      <c r="C488" s="1">
        <f t="shared" si="25"/>
        <v>3.8975127923309681E-120</v>
      </c>
      <c r="D488" s="1">
        <f t="shared" si="26"/>
        <v>3.9283274363709304E-45</v>
      </c>
      <c r="E488" s="1">
        <f t="shared" si="27"/>
        <v>3.9283274363709304E-45</v>
      </c>
    </row>
    <row r="489" spans="1:5" x14ac:dyDescent="0.25">
      <c r="A489" s="1">
        <v>442</v>
      </c>
      <c r="B489" s="1">
        <f t="shared" si="24"/>
        <v>0</v>
      </c>
      <c r="C489" s="1">
        <f t="shared" si="25"/>
        <v>5.3888162849395666E-121</v>
      </c>
      <c r="D489" s="1">
        <f t="shared" si="26"/>
        <v>1.414000888789073E-45</v>
      </c>
      <c r="E489" s="1">
        <f t="shared" si="27"/>
        <v>1.414000888789073E-45</v>
      </c>
    </row>
    <row r="490" spans="1:5" x14ac:dyDescent="0.25">
      <c r="A490" s="1">
        <v>443</v>
      </c>
      <c r="B490" s="1">
        <f t="shared" si="24"/>
        <v>0</v>
      </c>
      <c r="C490" s="1">
        <f t="shared" si="25"/>
        <v>7.3972828696448313E-122</v>
      </c>
      <c r="D490" s="1">
        <f t="shared" si="26"/>
        <v>5.0626092760706466E-46</v>
      </c>
      <c r="E490" s="1">
        <f t="shared" si="27"/>
        <v>5.0626092760706466E-46</v>
      </c>
    </row>
    <row r="491" spans="1:5" x14ac:dyDescent="0.25">
      <c r="A491" s="1">
        <v>444</v>
      </c>
      <c r="B491" s="1">
        <f t="shared" si="24"/>
        <v>0</v>
      </c>
      <c r="C491" s="1">
        <f t="shared" si="25"/>
        <v>1.008147539307967E-122</v>
      </c>
      <c r="D491" s="1">
        <f t="shared" si="26"/>
        <v>1.802942451049822E-46</v>
      </c>
      <c r="E491" s="1">
        <f t="shared" si="27"/>
        <v>1.802942451049822E-46</v>
      </c>
    </row>
    <row r="492" spans="1:5" x14ac:dyDescent="0.25">
      <c r="A492" s="1">
        <v>445</v>
      </c>
      <c r="B492" s="1">
        <f t="shared" si="24"/>
        <v>0</v>
      </c>
      <c r="C492" s="1">
        <f t="shared" si="25"/>
        <v>1.3641087111320873E-123</v>
      </c>
      <c r="D492" s="1">
        <f t="shared" si="26"/>
        <v>6.3866342299732816E-47</v>
      </c>
      <c r="E492" s="1">
        <f t="shared" si="27"/>
        <v>6.3866342299732816E-47</v>
      </c>
    </row>
    <row r="493" spans="1:5" x14ac:dyDescent="0.25">
      <c r="A493" s="1">
        <v>446</v>
      </c>
      <c r="B493" s="1">
        <f t="shared" si="24"/>
        <v>0</v>
      </c>
      <c r="C493" s="1">
        <f t="shared" si="25"/>
        <v>1.8325122645988076E-124</v>
      </c>
      <c r="D493" s="1">
        <f t="shared" si="26"/>
        <v>2.2503234713783892E-47</v>
      </c>
      <c r="E493" s="1">
        <f t="shared" si="27"/>
        <v>2.2503234713783892E-47</v>
      </c>
    </row>
    <row r="494" spans="1:5" x14ac:dyDescent="0.25">
      <c r="A494" s="1">
        <v>447</v>
      </c>
      <c r="B494" s="1">
        <f t="shared" si="24"/>
        <v>0</v>
      </c>
      <c r="C494" s="1">
        <f t="shared" si="25"/>
        <v>2.4440935074261123E-125</v>
      </c>
      <c r="D494" s="1">
        <f t="shared" si="26"/>
        <v>7.8867955283936121E-48</v>
      </c>
      <c r="E494" s="1">
        <f t="shared" si="27"/>
        <v>7.8867955283936121E-48</v>
      </c>
    </row>
    <row r="495" spans="1:5" x14ac:dyDescent="0.25">
      <c r="A495" s="1">
        <v>448</v>
      </c>
      <c r="B495" s="1">
        <f t="shared" si="24"/>
        <v>0</v>
      </c>
      <c r="C495" s="1">
        <f t="shared" si="25"/>
        <v>3.2363968105735559E-126</v>
      </c>
      <c r="D495" s="1">
        <f t="shared" si="26"/>
        <v>2.7494063978411316E-48</v>
      </c>
      <c r="E495" s="1">
        <f t="shared" si="27"/>
        <v>2.7494063978411316E-48</v>
      </c>
    </row>
    <row r="496" spans="1:5" x14ac:dyDescent="0.25">
      <c r="A496" s="1">
        <v>449</v>
      </c>
      <c r="B496" s="1">
        <f t="shared" si="24"/>
        <v>0</v>
      </c>
      <c r="C496" s="1">
        <f t="shared" si="25"/>
        <v>4.2547958935443754E-127</v>
      </c>
      <c r="D496" s="1">
        <f t="shared" si="26"/>
        <v>9.5336679602087837E-49</v>
      </c>
      <c r="E496" s="1">
        <f t="shared" si="27"/>
        <v>9.5336679602087837E-49</v>
      </c>
    </row>
    <row r="497" spans="1:5" x14ac:dyDescent="0.25">
      <c r="A497" s="1">
        <v>450</v>
      </c>
      <c r="B497" s="1">
        <f t="shared" ref="B497:B547" si="28">0.25 * _xlfn.NORM.DIST(A497, 83.3, 8.74, FALSE)</f>
        <v>0</v>
      </c>
      <c r="C497" s="1">
        <f t="shared" ref="C497:C547" si="29">0.5* _xlfn.NORM.DIST(A497, 166.7, 11.785, FALSE)</f>
        <v>5.553524831593497E-128</v>
      </c>
      <c r="D497" s="1">
        <f t="shared" ref="D497:D547" si="30">0.25 * _xlfn.NORM.DIST(A497, 250, 13.69, FALSE)</f>
        <v>3.2882424476432628E-49</v>
      </c>
      <c r="E497" s="1">
        <f t="shared" ref="E497:E547" si="31">SUM(B497:D497)</f>
        <v>3.2882424476432628E-49</v>
      </c>
    </row>
    <row r="498" spans="1:5" x14ac:dyDescent="0.25">
      <c r="A498" s="1">
        <v>451</v>
      </c>
      <c r="B498" s="1">
        <f t="shared" si="28"/>
        <v>0</v>
      </c>
      <c r="C498" s="1">
        <f t="shared" si="29"/>
        <v>7.1966722490881078E-129</v>
      </c>
      <c r="D498" s="1">
        <f t="shared" si="30"/>
        <v>1.1281071876041198E-49</v>
      </c>
      <c r="E498" s="1">
        <f t="shared" si="31"/>
        <v>1.1281071876041198E-49</v>
      </c>
    </row>
    <row r="499" spans="1:5" x14ac:dyDescent="0.25">
      <c r="A499" s="1">
        <v>452</v>
      </c>
      <c r="B499" s="1">
        <f t="shared" si="28"/>
        <v>0</v>
      </c>
      <c r="C499" s="1">
        <f t="shared" si="29"/>
        <v>9.2590781702407256E-130</v>
      </c>
      <c r="D499" s="1">
        <f t="shared" si="30"/>
        <v>3.8496356466069319E-50</v>
      </c>
      <c r="E499" s="1">
        <f t="shared" si="31"/>
        <v>3.8496356466069319E-50</v>
      </c>
    </row>
    <row r="500" spans="1:5" x14ac:dyDescent="0.25">
      <c r="A500" s="1">
        <v>453</v>
      </c>
      <c r="B500" s="1">
        <f t="shared" si="28"/>
        <v>0</v>
      </c>
      <c r="C500" s="1">
        <f t="shared" si="29"/>
        <v>1.1827059906082387E-130</v>
      </c>
      <c r="D500" s="1">
        <f t="shared" si="30"/>
        <v>1.3066871306652229E-50</v>
      </c>
      <c r="E500" s="1">
        <f t="shared" si="31"/>
        <v>1.3066871306652229E-50</v>
      </c>
    </row>
    <row r="501" spans="1:5" x14ac:dyDescent="0.25">
      <c r="A501" s="1">
        <v>454</v>
      </c>
      <c r="B501" s="1">
        <f t="shared" si="28"/>
        <v>0</v>
      </c>
      <c r="C501" s="1">
        <f t="shared" si="29"/>
        <v>1.4998881096517102E-131</v>
      </c>
      <c r="D501" s="1">
        <f t="shared" si="30"/>
        <v>4.4117035968219694E-51</v>
      </c>
      <c r="E501" s="1">
        <f t="shared" si="31"/>
        <v>4.4117035968219694E-51</v>
      </c>
    </row>
    <row r="502" spans="1:5" x14ac:dyDescent="0.25">
      <c r="A502" s="1">
        <v>455</v>
      </c>
      <c r="B502" s="1">
        <f t="shared" si="28"/>
        <v>0</v>
      </c>
      <c r="C502" s="1">
        <f t="shared" si="29"/>
        <v>1.8884867744898772E-132</v>
      </c>
      <c r="D502" s="1">
        <f t="shared" si="30"/>
        <v>1.4815754218894308E-51</v>
      </c>
      <c r="E502" s="1">
        <f t="shared" si="31"/>
        <v>1.4815754218894308E-51</v>
      </c>
    </row>
    <row r="503" spans="1:5" x14ac:dyDescent="0.25">
      <c r="A503" s="1">
        <v>456</v>
      </c>
      <c r="B503" s="1">
        <f t="shared" si="28"/>
        <v>0</v>
      </c>
      <c r="C503" s="1">
        <f t="shared" si="29"/>
        <v>2.3607068102534311E-133</v>
      </c>
      <c r="D503" s="1">
        <f t="shared" si="30"/>
        <v>4.9490737895754122E-52</v>
      </c>
      <c r="E503" s="1">
        <f t="shared" si="31"/>
        <v>4.9490737895754122E-52</v>
      </c>
    </row>
    <row r="504" spans="1:5" x14ac:dyDescent="0.25">
      <c r="A504" s="1">
        <v>457</v>
      </c>
      <c r="B504" s="1">
        <f t="shared" si="28"/>
        <v>0</v>
      </c>
      <c r="C504" s="1">
        <f t="shared" si="29"/>
        <v>2.929835101440193E-134</v>
      </c>
      <c r="D504" s="1">
        <f t="shared" si="30"/>
        <v>1.6443975431209327E-52</v>
      </c>
      <c r="E504" s="1">
        <f t="shared" si="31"/>
        <v>1.6443975431209327E-52</v>
      </c>
    </row>
    <row r="505" spans="1:5" x14ac:dyDescent="0.25">
      <c r="A505" s="1">
        <v>458</v>
      </c>
      <c r="B505" s="1">
        <f t="shared" si="28"/>
        <v>0</v>
      </c>
      <c r="C505" s="1">
        <f t="shared" si="29"/>
        <v>3.6100841271043949E-135</v>
      </c>
      <c r="D505" s="1">
        <f t="shared" si="30"/>
        <v>5.4346607012516155E-53</v>
      </c>
      <c r="E505" s="1">
        <f t="shared" si="31"/>
        <v>5.4346607012516155E-53</v>
      </c>
    </row>
    <row r="506" spans="1:5" x14ac:dyDescent="0.25">
      <c r="A506" s="1">
        <v>459</v>
      </c>
      <c r="B506" s="1">
        <f t="shared" si="28"/>
        <v>0</v>
      </c>
      <c r="C506" s="1">
        <f t="shared" si="29"/>
        <v>4.4163601960753227E-136</v>
      </c>
      <c r="D506" s="1">
        <f t="shared" si="30"/>
        <v>1.7865730443067957E-53</v>
      </c>
      <c r="E506" s="1">
        <f t="shared" si="31"/>
        <v>1.7865730443067957E-53</v>
      </c>
    </row>
    <row r="507" spans="1:5" x14ac:dyDescent="0.25">
      <c r="A507" s="1">
        <v>460</v>
      </c>
      <c r="B507" s="1">
        <f t="shared" si="28"/>
        <v>0</v>
      </c>
      <c r="C507" s="1">
        <f t="shared" si="29"/>
        <v>5.363949385958394E-137</v>
      </c>
      <c r="D507" s="1">
        <f t="shared" si="30"/>
        <v>5.8418694147674058E-54</v>
      </c>
      <c r="E507" s="1">
        <f t="shared" si="31"/>
        <v>5.8418694147674058E-54</v>
      </c>
    </row>
    <row r="508" spans="1:5" x14ac:dyDescent="0.25">
      <c r="A508" s="1">
        <v>461</v>
      </c>
      <c r="B508" s="1">
        <f t="shared" si="28"/>
        <v>0</v>
      </c>
      <c r="C508" s="1">
        <f t="shared" si="29"/>
        <v>6.4681171196881971E-138</v>
      </c>
      <c r="D508" s="1">
        <f t="shared" si="30"/>
        <v>1.9000526634999639E-54</v>
      </c>
      <c r="E508" s="1">
        <f t="shared" si="31"/>
        <v>1.9000526634999639E-54</v>
      </c>
    </row>
    <row r="509" spans="1:5" x14ac:dyDescent="0.25">
      <c r="A509" s="1">
        <v>462</v>
      </c>
      <c r="B509" s="1">
        <f t="shared" si="28"/>
        <v>0</v>
      </c>
      <c r="C509" s="1">
        <f t="shared" si="29"/>
        <v>7.7436211778007001E-139</v>
      </c>
      <c r="D509" s="1">
        <f t="shared" si="30"/>
        <v>6.1469850636225781E-55</v>
      </c>
      <c r="E509" s="1">
        <f t="shared" si="31"/>
        <v>6.1469850636225781E-55</v>
      </c>
    </row>
    <row r="510" spans="1:5" x14ac:dyDescent="0.25">
      <c r="A510" s="1">
        <v>463</v>
      </c>
      <c r="B510" s="1">
        <f t="shared" si="28"/>
        <v>0</v>
      </c>
      <c r="C510" s="1">
        <f t="shared" si="29"/>
        <v>9.2041426802480097E-140</v>
      </c>
      <c r="D510" s="1">
        <f t="shared" si="30"/>
        <v>1.9780688466942328E-55</v>
      </c>
      <c r="E510" s="1">
        <f t="shared" si="31"/>
        <v>1.9780688466942328E-55</v>
      </c>
    </row>
    <row r="511" spans="1:5" x14ac:dyDescent="0.25">
      <c r="A511" s="1">
        <v>464</v>
      </c>
      <c r="B511" s="1">
        <f t="shared" si="28"/>
        <v>0</v>
      </c>
      <c r="C511" s="1">
        <f t="shared" si="29"/>
        <v>1.0861645032794558E-140</v>
      </c>
      <c r="D511" s="1">
        <f t="shared" si="30"/>
        <v>6.3314528099751078E-56</v>
      </c>
      <c r="E511" s="1">
        <f t="shared" si="31"/>
        <v>6.3314528099751078E-56</v>
      </c>
    </row>
    <row r="512" spans="1:5" x14ac:dyDescent="0.25">
      <c r="A512" s="1">
        <v>465</v>
      </c>
      <c r="B512" s="1">
        <f t="shared" si="28"/>
        <v>0</v>
      </c>
      <c r="C512" s="1">
        <f t="shared" si="29"/>
        <v>1.2725676786057778E-141</v>
      </c>
      <c r="D512" s="1">
        <f t="shared" si="30"/>
        <v>2.0158029263385874E-56</v>
      </c>
      <c r="E512" s="1">
        <f t="shared" si="31"/>
        <v>2.0158029263385874E-56</v>
      </c>
    </row>
    <row r="513" spans="1:5" x14ac:dyDescent="0.25">
      <c r="A513" s="1">
        <v>466</v>
      </c>
      <c r="B513" s="1">
        <f t="shared" si="28"/>
        <v>0</v>
      </c>
      <c r="C513" s="1">
        <f t="shared" si="29"/>
        <v>1.4802640480257164E-142</v>
      </c>
      <c r="D513" s="1">
        <f t="shared" si="30"/>
        <v>6.3837444635928542E-57</v>
      </c>
      <c r="E513" s="1">
        <f t="shared" si="31"/>
        <v>6.3837444635928542E-57</v>
      </c>
    </row>
    <row r="514" spans="1:5" x14ac:dyDescent="0.25">
      <c r="A514" s="1">
        <v>467</v>
      </c>
      <c r="B514" s="1">
        <f t="shared" si="28"/>
        <v>0</v>
      </c>
      <c r="C514" s="1">
        <f t="shared" si="29"/>
        <v>1.7095055449650716E-143</v>
      </c>
      <c r="D514" s="1">
        <f t="shared" si="30"/>
        <v>2.0108776305800734E-57</v>
      </c>
      <c r="E514" s="1">
        <f t="shared" si="31"/>
        <v>2.0108776305800734E-57</v>
      </c>
    </row>
    <row r="515" spans="1:5" x14ac:dyDescent="0.25">
      <c r="A515" s="1">
        <v>468</v>
      </c>
      <c r="B515" s="1">
        <f t="shared" si="28"/>
        <v>0</v>
      </c>
      <c r="C515" s="1">
        <f t="shared" si="29"/>
        <v>1.9600847784741806E-144</v>
      </c>
      <c r="D515" s="1">
        <f t="shared" si="30"/>
        <v>6.3005508003221247E-58</v>
      </c>
      <c r="E515" s="1">
        <f t="shared" si="31"/>
        <v>6.3005508003221247E-58</v>
      </c>
    </row>
    <row r="516" spans="1:5" x14ac:dyDescent="0.25">
      <c r="A516" s="1">
        <v>469</v>
      </c>
      <c r="B516" s="1">
        <f t="shared" si="28"/>
        <v>0</v>
      </c>
      <c r="C516" s="1">
        <f t="shared" si="29"/>
        <v>2.2312704716042853E-145</v>
      </c>
      <c r="D516" s="1">
        <f t="shared" si="30"/>
        <v>1.9636049490756416E-58</v>
      </c>
      <c r="E516" s="1">
        <f t="shared" si="31"/>
        <v>1.9636049490756416E-58</v>
      </c>
    </row>
    <row r="517" spans="1:5" x14ac:dyDescent="0.25">
      <c r="A517" s="1">
        <v>470</v>
      </c>
      <c r="B517" s="1">
        <f t="shared" si="28"/>
        <v>0</v>
      </c>
      <c r="C517" s="1">
        <f t="shared" si="29"/>
        <v>2.5217533116217174E-146</v>
      </c>
      <c r="D517" s="1">
        <f t="shared" si="30"/>
        <v>6.0871281424929127E-59</v>
      </c>
      <c r="E517" s="1">
        <f t="shared" si="31"/>
        <v>6.0871281424929127E-59</v>
      </c>
    </row>
    <row r="518" spans="1:5" x14ac:dyDescent="0.25">
      <c r="A518" s="1">
        <v>471</v>
      </c>
      <c r="B518" s="1">
        <f t="shared" si="28"/>
        <v>0</v>
      </c>
      <c r="C518" s="1">
        <f t="shared" si="29"/>
        <v>2.8296062191592686E-147</v>
      </c>
      <c r="D518" s="1">
        <f t="shared" si="30"/>
        <v>1.8769534268485262E-59</v>
      </c>
      <c r="E518" s="1">
        <f t="shared" si="31"/>
        <v>1.8769534268485262E-59</v>
      </c>
    </row>
    <row r="519" spans="1:5" x14ac:dyDescent="0.25">
      <c r="A519" s="1">
        <v>472</v>
      </c>
      <c r="B519" s="1">
        <f t="shared" si="28"/>
        <v>0</v>
      </c>
      <c r="C519" s="1">
        <f t="shared" si="29"/>
        <v>3.1522628415201301E-148</v>
      </c>
      <c r="D519" s="1">
        <f t="shared" si="30"/>
        <v>5.7567487399932811E-60</v>
      </c>
      <c r="E519" s="1">
        <f t="shared" si="31"/>
        <v>5.7567487399932811E-60</v>
      </c>
    </row>
    <row r="520" spans="1:5" x14ac:dyDescent="0.25">
      <c r="A520" s="1">
        <v>473</v>
      </c>
      <c r="B520" s="1">
        <f t="shared" si="28"/>
        <v>0</v>
      </c>
      <c r="C520" s="1">
        <f t="shared" si="29"/>
        <v>3.4865176141019018E-149</v>
      </c>
      <c r="D520" s="1">
        <f t="shared" si="30"/>
        <v>1.7562396526062522E-60</v>
      </c>
      <c r="E520" s="1">
        <f t="shared" si="31"/>
        <v>1.7562396526062522E-60</v>
      </c>
    </row>
    <row r="521" spans="1:5" x14ac:dyDescent="0.25">
      <c r="A521" s="1">
        <v>474</v>
      </c>
      <c r="B521" s="1">
        <f t="shared" si="28"/>
        <v>0</v>
      </c>
      <c r="C521" s="1">
        <f t="shared" si="29"/>
        <v>3.8285500101496048E-150</v>
      </c>
      <c r="D521" s="1">
        <f t="shared" si="30"/>
        <v>5.3293348473851506E-61</v>
      </c>
      <c r="E521" s="1">
        <f t="shared" si="31"/>
        <v>5.3293348473851506E-61</v>
      </c>
    </row>
    <row r="522" spans="1:5" x14ac:dyDescent="0.25">
      <c r="A522" s="1">
        <v>475</v>
      </c>
      <c r="B522" s="1">
        <f t="shared" si="28"/>
        <v>0</v>
      </c>
      <c r="C522" s="1">
        <f t="shared" si="29"/>
        <v>4.173974629073184E-151</v>
      </c>
      <c r="D522" s="1">
        <f t="shared" si="30"/>
        <v>1.6085885160154889E-61</v>
      </c>
      <c r="E522" s="1">
        <f t="shared" si="31"/>
        <v>1.6085885160154889E-61</v>
      </c>
    </row>
    <row r="523" spans="1:5" x14ac:dyDescent="0.25">
      <c r="A523" s="1">
        <v>476</v>
      </c>
      <c r="B523" s="1">
        <f t="shared" si="28"/>
        <v>0</v>
      </c>
      <c r="C523" s="1">
        <f t="shared" si="29"/>
        <v>4.5179175942269072E-152</v>
      </c>
      <c r="D523" s="1">
        <f t="shared" si="30"/>
        <v>4.8294719207747482E-62</v>
      </c>
      <c r="E523" s="1">
        <f t="shared" si="31"/>
        <v>4.8294719207747482E-62</v>
      </c>
    </row>
    <row r="524" spans="1:5" x14ac:dyDescent="0.25">
      <c r="A524" s="1">
        <v>477</v>
      </c>
      <c r="B524" s="1">
        <f t="shared" si="28"/>
        <v>0</v>
      </c>
      <c r="C524" s="1">
        <f t="shared" si="29"/>
        <v>4.855118399030507E-153</v>
      </c>
      <c r="D524" s="1">
        <f t="shared" si="30"/>
        <v>1.4422383937479153E-62</v>
      </c>
      <c r="E524" s="1">
        <f t="shared" si="31"/>
        <v>1.4422383937479153E-62</v>
      </c>
    </row>
    <row r="525" spans="1:5" x14ac:dyDescent="0.25">
      <c r="A525" s="1">
        <v>478</v>
      </c>
      <c r="B525" s="1">
        <f t="shared" si="28"/>
        <v>0</v>
      </c>
      <c r="C525" s="1">
        <f t="shared" si="29"/>
        <v>5.1800549297289773E-154</v>
      </c>
      <c r="D525" s="1">
        <f t="shared" si="30"/>
        <v>4.2840761899122915E-63</v>
      </c>
      <c r="E525" s="1">
        <f t="shared" si="31"/>
        <v>4.2840761899122915E-63</v>
      </c>
    </row>
    <row r="526" spans="1:5" x14ac:dyDescent="0.25">
      <c r="A526" s="1">
        <v>479</v>
      </c>
      <c r="B526" s="1">
        <f t="shared" si="28"/>
        <v>0</v>
      </c>
      <c r="C526" s="1">
        <f t="shared" si="29"/>
        <v>5.4870879911621328E-155</v>
      </c>
      <c r="D526" s="1">
        <f t="shared" si="30"/>
        <v>1.2657852919098873E-63</v>
      </c>
      <c r="E526" s="1">
        <f t="shared" si="31"/>
        <v>1.2657852919098873E-63</v>
      </c>
    </row>
    <row r="527" spans="1:5" x14ac:dyDescent="0.25">
      <c r="A527" s="1">
        <v>480</v>
      </c>
      <c r="B527" s="1">
        <f t="shared" si="28"/>
        <v>0</v>
      </c>
      <c r="C527" s="1">
        <f t="shared" si="29"/>
        <v>5.7706203629424148E-156</v>
      </c>
      <c r="D527" s="1">
        <f t="shared" si="30"/>
        <v>3.7200230418008732E-64</v>
      </c>
      <c r="E527" s="1">
        <f t="shared" si="31"/>
        <v>3.7200230418008732E-64</v>
      </c>
    </row>
    <row r="528" spans="1:5" x14ac:dyDescent="0.25">
      <c r="A528" s="1">
        <v>481</v>
      </c>
      <c r="B528" s="1">
        <f t="shared" si="28"/>
        <v>0</v>
      </c>
      <c r="C528" s="1">
        <f t="shared" si="29"/>
        <v>6.0252643119639361E-157</v>
      </c>
      <c r="D528" s="1">
        <f t="shared" si="30"/>
        <v>1.0874616261083559E-64</v>
      </c>
      <c r="E528" s="1">
        <f t="shared" si="31"/>
        <v>1.0874616261083559E-64</v>
      </c>
    </row>
    <row r="529" spans="1:5" x14ac:dyDescent="0.25">
      <c r="A529" s="1">
        <v>482</v>
      </c>
      <c r="B529" s="1">
        <f t="shared" si="28"/>
        <v>0</v>
      </c>
      <c r="C529" s="1">
        <f t="shared" si="29"/>
        <v>6.2460106700426424E-158</v>
      </c>
      <c r="D529" s="1">
        <f t="shared" si="30"/>
        <v>3.1620226560002244E-65</v>
      </c>
      <c r="E529" s="1">
        <f t="shared" si="31"/>
        <v>3.1620226560002244E-65</v>
      </c>
    </row>
    <row r="530" spans="1:5" x14ac:dyDescent="0.25">
      <c r="A530" s="1">
        <v>483</v>
      </c>
      <c r="B530" s="1">
        <f t="shared" si="28"/>
        <v>0</v>
      </c>
      <c r="C530" s="1">
        <f t="shared" si="29"/>
        <v>6.4283921246202697E-159</v>
      </c>
      <c r="D530" s="1">
        <f t="shared" si="30"/>
        <v>9.1453164950849313E-66</v>
      </c>
      <c r="E530" s="1">
        <f t="shared" si="31"/>
        <v>9.1453164950849313E-66</v>
      </c>
    </row>
    <row r="531" spans="1:5" x14ac:dyDescent="0.25">
      <c r="A531" s="1">
        <v>484</v>
      </c>
      <c r="B531" s="1">
        <f t="shared" si="28"/>
        <v>0</v>
      </c>
      <c r="C531" s="1">
        <f t="shared" si="29"/>
        <v>6.5686333157273691E-160</v>
      </c>
      <c r="D531" s="1">
        <f t="shared" si="30"/>
        <v>2.630965954488894E-66</v>
      </c>
      <c r="E531" s="1">
        <f t="shared" si="31"/>
        <v>2.630965954488894E-66</v>
      </c>
    </row>
    <row r="532" spans="1:5" x14ac:dyDescent="0.25">
      <c r="A532" s="1">
        <v>485</v>
      </c>
      <c r="B532" s="1">
        <f t="shared" si="28"/>
        <v>0</v>
      </c>
      <c r="C532" s="1">
        <f t="shared" si="29"/>
        <v>6.6637807068381155E-161</v>
      </c>
      <c r="D532" s="1">
        <f t="shared" si="30"/>
        <v>7.528603797701266E-67</v>
      </c>
      <c r="E532" s="1">
        <f t="shared" si="31"/>
        <v>7.528603797701266E-67</v>
      </c>
    </row>
    <row r="533" spans="1:5" x14ac:dyDescent="0.25">
      <c r="A533" s="1">
        <v>486</v>
      </c>
      <c r="B533" s="1">
        <f t="shared" si="28"/>
        <v>0</v>
      </c>
      <c r="C533" s="1">
        <f t="shared" si="29"/>
        <v>6.7118059935568141E-162</v>
      </c>
      <c r="D533" s="1">
        <f t="shared" si="30"/>
        <v>2.142872751936511E-67</v>
      </c>
      <c r="E533" s="1">
        <f t="shared" si="31"/>
        <v>2.142872751936511E-67</v>
      </c>
    </row>
    <row r="534" spans="1:5" x14ac:dyDescent="0.25">
      <c r="A534" s="1">
        <v>487</v>
      </c>
      <c r="B534" s="1">
        <f t="shared" si="28"/>
        <v>0</v>
      </c>
      <c r="C534" s="1">
        <f t="shared" si="29"/>
        <v>6.7116779942351317E-163</v>
      </c>
      <c r="D534" s="1">
        <f t="shared" si="30"/>
        <v>6.0668191434259998E-68</v>
      </c>
      <c r="E534" s="1">
        <f t="shared" si="31"/>
        <v>6.0668191434259998E-68</v>
      </c>
    </row>
    <row r="535" spans="1:5" x14ac:dyDescent="0.25">
      <c r="A535" s="1">
        <v>488</v>
      </c>
      <c r="B535" s="1">
        <f t="shared" si="28"/>
        <v>0</v>
      </c>
      <c r="C535" s="1">
        <f t="shared" si="29"/>
        <v>6.6633994637816321E-164</v>
      </c>
      <c r="D535" s="1">
        <f t="shared" si="30"/>
        <v>1.7084742608656208E-68</v>
      </c>
      <c r="E535" s="1">
        <f t="shared" si="31"/>
        <v>1.7084742608656208E-68</v>
      </c>
    </row>
    <row r="536" spans="1:5" x14ac:dyDescent="0.25">
      <c r="A536" s="1">
        <v>489</v>
      </c>
      <c r="B536" s="1">
        <f t="shared" si="28"/>
        <v>0</v>
      </c>
      <c r="C536" s="1">
        <f t="shared" si="29"/>
        <v>6.5680069950757028E-165</v>
      </c>
      <c r="D536" s="1">
        <f t="shared" si="30"/>
        <v>4.7856238266887313E-69</v>
      </c>
      <c r="E536" s="1">
        <f t="shared" si="31"/>
        <v>4.7856238266887313E-69</v>
      </c>
    </row>
    <row r="537" spans="1:5" x14ac:dyDescent="0.25">
      <c r="A537" s="1">
        <v>490</v>
      </c>
      <c r="B537" s="1">
        <f t="shared" si="28"/>
        <v>0</v>
      </c>
      <c r="C537" s="1">
        <f t="shared" si="29"/>
        <v>6.4275340129135462E-166</v>
      </c>
      <c r="D537" s="1">
        <f t="shared" si="30"/>
        <v>1.3333722165226804E-69</v>
      </c>
      <c r="E537" s="1">
        <f t="shared" si="31"/>
        <v>1.3333722165226804E-69</v>
      </c>
    </row>
    <row r="538" spans="1:5" x14ac:dyDescent="0.25">
      <c r="A538" s="1">
        <v>491</v>
      </c>
      <c r="B538" s="1">
        <f t="shared" si="28"/>
        <v>0</v>
      </c>
      <c r="C538" s="1">
        <f t="shared" si="29"/>
        <v>6.2449387056111903E-167</v>
      </c>
      <c r="D538" s="1">
        <f t="shared" si="30"/>
        <v>3.6952767615385097E-70</v>
      </c>
      <c r="E538" s="1">
        <f t="shared" si="31"/>
        <v>3.6952767615385097E-70</v>
      </c>
    </row>
    <row r="539" spans="1:5" x14ac:dyDescent="0.25">
      <c r="A539" s="1">
        <v>492</v>
      </c>
      <c r="B539" s="1">
        <f t="shared" si="28"/>
        <v>0</v>
      </c>
      <c r="C539" s="1">
        <f t="shared" si="29"/>
        <v>6.024000461621871E-168</v>
      </c>
      <c r="D539" s="1">
        <f t="shared" si="30"/>
        <v>1.0186506487884985E-70</v>
      </c>
      <c r="E539" s="1">
        <f t="shared" si="31"/>
        <v>1.0186506487884985E-70</v>
      </c>
    </row>
    <row r="540" spans="1:5" x14ac:dyDescent="0.25">
      <c r="A540" s="1">
        <v>493</v>
      </c>
      <c r="B540" s="1">
        <f t="shared" si="28"/>
        <v>0</v>
      </c>
      <c r="C540" s="1">
        <f t="shared" si="29"/>
        <v>5.769189874227122E-169</v>
      </c>
      <c r="D540" s="1">
        <f t="shared" si="30"/>
        <v>2.7930987293299729E-71</v>
      </c>
      <c r="E540" s="1">
        <f t="shared" si="31"/>
        <v>2.7930987293299729E-71</v>
      </c>
    </row>
    <row r="541" spans="1:5" x14ac:dyDescent="0.25">
      <c r="A541" s="1">
        <v>494</v>
      </c>
      <c r="B541" s="1">
        <f t="shared" si="28"/>
        <v>0</v>
      </c>
      <c r="C541" s="1">
        <f t="shared" si="29"/>
        <v>5.4855185556273591E-170</v>
      </c>
      <c r="D541" s="1">
        <f t="shared" si="30"/>
        <v>7.6178082060712451E-72</v>
      </c>
      <c r="E541" s="1">
        <f t="shared" si="31"/>
        <v>7.6178082060712451E-72</v>
      </c>
    </row>
    <row r="542" spans="1:5" x14ac:dyDescent="0.25">
      <c r="A542" s="1">
        <v>495</v>
      </c>
      <c r="B542" s="1">
        <f t="shared" si="28"/>
        <v>0</v>
      </c>
      <c r="C542" s="1">
        <f t="shared" si="29"/>
        <v>5.1783757959347896E-171</v>
      </c>
      <c r="D542" s="1">
        <f t="shared" si="30"/>
        <v>2.0666003901347835E-72</v>
      </c>
      <c r="E542" s="1">
        <f t="shared" si="31"/>
        <v>2.0666003901347835E-72</v>
      </c>
    </row>
    <row r="543" spans="1:5" x14ac:dyDescent="0.25">
      <c r="A543" s="1">
        <v>496</v>
      </c>
      <c r="B543" s="1">
        <f t="shared" si="28"/>
        <v>0</v>
      </c>
      <c r="C543" s="1">
        <f t="shared" si="29"/>
        <v>4.8533594746845554E-172</v>
      </c>
      <c r="D543" s="1">
        <f t="shared" si="30"/>
        <v>5.5765513513510438E-73</v>
      </c>
      <c r="E543" s="1">
        <f t="shared" si="31"/>
        <v>5.5765513513510438E-73</v>
      </c>
    </row>
    <row r="544" spans="1:5" x14ac:dyDescent="0.25">
      <c r="A544" s="1">
        <v>497</v>
      </c>
      <c r="B544" s="1">
        <f t="shared" si="28"/>
        <v>0</v>
      </c>
      <c r="C544" s="1">
        <f t="shared" si="29"/>
        <v>4.5161085755444977E-173</v>
      </c>
      <c r="D544" s="1">
        <f t="shared" si="30"/>
        <v>1.4967788240711784E-73</v>
      </c>
      <c r="E544" s="1">
        <f t="shared" si="31"/>
        <v>1.4967788240711784E-73</v>
      </c>
    </row>
    <row r="545" spans="1:5" x14ac:dyDescent="0.25">
      <c r="A545" s="1">
        <v>498</v>
      </c>
      <c r="B545" s="1">
        <f t="shared" si="28"/>
        <v>0</v>
      </c>
      <c r="C545" s="1">
        <f t="shared" si="29"/>
        <v>4.1721441919666612E-174</v>
      </c>
      <c r="D545" s="1">
        <f t="shared" si="30"/>
        <v>3.9960625786533081E-74</v>
      </c>
      <c r="E545" s="1">
        <f t="shared" si="31"/>
        <v>3.9960625786533081E-74</v>
      </c>
    </row>
    <row r="546" spans="1:5" x14ac:dyDescent="0.25">
      <c r="A546" s="1">
        <v>499</v>
      </c>
      <c r="B546" s="1">
        <f t="shared" si="28"/>
        <v>0</v>
      </c>
      <c r="C546" s="1">
        <f t="shared" si="29"/>
        <v>3.8267250927096745E-175</v>
      </c>
      <c r="D546" s="1">
        <f t="shared" si="30"/>
        <v>1.0611814677875598E-74</v>
      </c>
      <c r="E546" s="1">
        <f t="shared" si="31"/>
        <v>1.0611814677875598E-74</v>
      </c>
    </row>
    <row r="547" spans="1:5" x14ac:dyDescent="0.25">
      <c r="A547" s="1">
        <v>500</v>
      </c>
      <c r="B547" s="1">
        <f t="shared" si="28"/>
        <v>0</v>
      </c>
      <c r="C547" s="1">
        <f t="shared" si="29"/>
        <v>3.4847228133842319E-176</v>
      </c>
      <c r="D547" s="1">
        <f t="shared" si="30"/>
        <v>2.8030429935639944E-75</v>
      </c>
      <c r="E547" s="1">
        <f t="shared" si="31"/>
        <v>2.8030429935639944E-75</v>
      </c>
    </row>
  </sheetData>
  <mergeCells count="3">
    <mergeCell ref="A22:C22"/>
    <mergeCell ref="A23:C23"/>
    <mergeCell ref="A24:C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4B92-D129-5949-9CB8-A92218B6569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Approximation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Kacey Chea</dc:creator>
  <cp:lastModifiedBy>Kacey Chea</cp:lastModifiedBy>
  <dcterms:created xsi:type="dcterms:W3CDTF">2025-11-08T03:50:10Z</dcterms:created>
  <dcterms:modified xsi:type="dcterms:W3CDTF">2025-11-08T03:51:39Z</dcterms:modified>
</cp:coreProperties>
</file>